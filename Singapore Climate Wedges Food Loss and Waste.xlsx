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s4625_ic_ac_uk/Documents/Thesis/"/>
    </mc:Choice>
  </mc:AlternateContent>
  <xr:revisionPtr revIDLastSave="13" documentId="8_{BE765C2B-C930-654A-A61F-816E9ECFBDFD}" xr6:coauthVersionLast="47" xr6:coauthVersionMax="47" xr10:uidLastSave="{EA7DBC79-7007-4F48-8D16-F548AC74B371}"/>
  <bookViews>
    <workbookView xWindow="5080" yWindow="780" windowWidth="26700" windowHeight="20280" tabRatio="868" activeTab="4" xr2:uid="{00000000-000D-0000-FFFF-FFFF00000000}"/>
  </bookViews>
  <sheets>
    <sheet name="HFCs EFs" sheetId="24" state="hidden" r:id="rId1"/>
    <sheet name="Methane (New)" sheetId="25" state="hidden" r:id="rId2"/>
    <sheet name="Methane" sheetId="19" state="hidden" r:id="rId3"/>
    <sheet name="Vehicle Population" sheetId="27" state="hidden" r:id="rId4"/>
    <sheet name="FLW Data" sheetId="20" r:id="rId5"/>
    <sheet name="FLW CF" sheetId="28" r:id="rId6"/>
    <sheet name="Context" sheetId="3" state="hidden" r:id="rId7"/>
    <sheet name="Effort Summary" sheetId="4" state="hidden" r:id="rId8"/>
  </sheets>
  <definedNames>
    <definedName name="_xlnm._FilterDatabase" localSheetId="3" hidden="1">'Vehicle Population'!$A$1:$D$1944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0" l="1"/>
  <c r="J16" i="20"/>
  <c r="L19" i="20"/>
  <c r="J19" i="20"/>
  <c r="M19" i="20" s="1"/>
  <c r="M7" i="20"/>
  <c r="AC7" i="20" l="1"/>
  <c r="M41" i="20"/>
  <c r="M42" i="20"/>
  <c r="M43" i="20"/>
  <c r="M44" i="20"/>
  <c r="M45" i="20"/>
  <c r="M46" i="20"/>
  <c r="M47" i="20"/>
  <c r="M48" i="20"/>
  <c r="M50" i="20"/>
  <c r="M51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40" i="20"/>
  <c r="M8" i="20"/>
  <c r="M9" i="20"/>
  <c r="M10" i="20"/>
  <c r="M11" i="20"/>
  <c r="M12" i="20"/>
  <c r="M13" i="20"/>
  <c r="M14" i="20"/>
  <c r="M15" i="20"/>
  <c r="M16" i="20"/>
  <c r="M17" i="20"/>
  <c r="M18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O7" i="20"/>
  <c r="AG16" i="20" l="1"/>
  <c r="AG19" i="20"/>
  <c r="L49" i="20" l="1"/>
  <c r="L52" i="20"/>
  <c r="J45" i="20"/>
  <c r="J49" i="20"/>
  <c r="J52" i="20"/>
  <c r="J57" i="20"/>
  <c r="J58" i="20"/>
  <c r="J59" i="20"/>
  <c r="AG49" i="20" l="1"/>
  <c r="M49" i="20"/>
  <c r="AG52" i="20"/>
  <c r="M52" i="20"/>
  <c r="L21" i="20"/>
  <c r="L54" i="20" s="1"/>
  <c r="J21" i="20"/>
  <c r="J22" i="20"/>
  <c r="L20" i="20"/>
  <c r="L53" i="20" s="1"/>
  <c r="J20" i="20"/>
  <c r="L30" i="20"/>
  <c r="L63" i="20" s="1"/>
  <c r="J31" i="20"/>
  <c r="L31" i="20"/>
  <c r="L64" i="20" s="1"/>
  <c r="J7" i="20"/>
  <c r="L29" i="20"/>
  <c r="L62" i="20" s="1"/>
  <c r="L26" i="20"/>
  <c r="L25" i="20"/>
  <c r="L24" i="20"/>
  <c r="J23" i="20"/>
  <c r="L23" i="20"/>
  <c r="L56" i="20" s="1"/>
  <c r="J18" i="20"/>
  <c r="J17" i="20"/>
  <c r="L15" i="20"/>
  <c r="L48" i="20" s="1"/>
  <c r="L22" i="20"/>
  <c r="L55" i="20" s="1"/>
  <c r="L18" i="20"/>
  <c r="L51" i="20" s="1"/>
  <c r="L17" i="20"/>
  <c r="L50" i="20" s="1"/>
  <c r="L28" i="20"/>
  <c r="L61" i="20" s="1"/>
  <c r="L27" i="20"/>
  <c r="L60" i="20" s="1"/>
  <c r="J27" i="20"/>
  <c r="J13" i="20"/>
  <c r="L11" i="20"/>
  <c r="L44" i="20" s="1"/>
  <c r="L8" i="20"/>
  <c r="L41" i="20" s="1"/>
  <c r="L9" i="20"/>
  <c r="L14" i="20"/>
  <c r="L47" i="20" s="1"/>
  <c r="L13" i="20"/>
  <c r="L46" i="20" s="1"/>
  <c r="L10" i="20"/>
  <c r="L43" i="20" s="1"/>
  <c r="L12" i="20"/>
  <c r="L7" i="20"/>
  <c r="L40" i="20" s="1"/>
  <c r="J29" i="20"/>
  <c r="J30" i="20"/>
  <c r="J15" i="20"/>
  <c r="J28" i="20"/>
  <c r="J8" i="20"/>
  <c r="J10" i="20"/>
  <c r="J14" i="20"/>
  <c r="J11" i="20"/>
  <c r="J9" i="20"/>
  <c r="C65" i="20"/>
  <c r="F64" i="20"/>
  <c r="H64" i="20" s="1"/>
  <c r="I64" i="20" s="1"/>
  <c r="F63" i="20"/>
  <c r="H63" i="20" s="1"/>
  <c r="I63" i="20" s="1"/>
  <c r="F62" i="20"/>
  <c r="F61" i="20"/>
  <c r="D60" i="20"/>
  <c r="F60" i="20" s="1"/>
  <c r="F59" i="20"/>
  <c r="F58" i="20"/>
  <c r="H58" i="20" s="1"/>
  <c r="F57" i="20"/>
  <c r="F56" i="20"/>
  <c r="H56" i="20" s="1"/>
  <c r="I56" i="20" s="1"/>
  <c r="F55" i="20"/>
  <c r="H55" i="20" s="1"/>
  <c r="I55" i="20" s="1"/>
  <c r="F54" i="20"/>
  <c r="H54" i="20" s="1"/>
  <c r="I54" i="20" s="1"/>
  <c r="F53" i="20"/>
  <c r="F52" i="20"/>
  <c r="F51" i="20"/>
  <c r="F50" i="20"/>
  <c r="H50" i="20" s="1"/>
  <c r="F49" i="20"/>
  <c r="H49" i="20" s="1"/>
  <c r="F48" i="20"/>
  <c r="H48" i="20" s="1"/>
  <c r="F47" i="20"/>
  <c r="H47" i="20" s="1"/>
  <c r="F46" i="20"/>
  <c r="F45" i="20"/>
  <c r="F44" i="20"/>
  <c r="H44" i="20" s="1"/>
  <c r="I44" i="20" s="1"/>
  <c r="F43" i="20"/>
  <c r="H43" i="20" s="1"/>
  <c r="I43" i="20" s="1"/>
  <c r="F42" i="20"/>
  <c r="F41" i="20"/>
  <c r="F40" i="20"/>
  <c r="D27" i="20"/>
  <c r="F27" i="20" s="1"/>
  <c r="H22" i="20"/>
  <c r="I22" i="20" s="1"/>
  <c r="F8" i="20"/>
  <c r="H8" i="20" s="1"/>
  <c r="F9" i="20"/>
  <c r="H9" i="20" s="1"/>
  <c r="F10" i="20"/>
  <c r="H10" i="20" s="1"/>
  <c r="F11" i="20"/>
  <c r="H11" i="20" s="1"/>
  <c r="F12" i="20"/>
  <c r="H12" i="20" s="1"/>
  <c r="F13" i="20"/>
  <c r="H13" i="20" s="1"/>
  <c r="F14" i="20"/>
  <c r="F15" i="20"/>
  <c r="F16" i="20"/>
  <c r="H16" i="20" s="1"/>
  <c r="I16" i="20" s="1"/>
  <c r="F17" i="20"/>
  <c r="H17" i="20" s="1"/>
  <c r="I17" i="20" s="1"/>
  <c r="F18" i="20"/>
  <c r="H18" i="20" s="1"/>
  <c r="F19" i="20"/>
  <c r="H19" i="20" s="1"/>
  <c r="F20" i="20"/>
  <c r="H20" i="20" s="1"/>
  <c r="F21" i="20"/>
  <c r="H21" i="20" s="1"/>
  <c r="F22" i="20"/>
  <c r="F23" i="20"/>
  <c r="H23" i="20" s="1"/>
  <c r="F24" i="20"/>
  <c r="H24" i="20" s="1"/>
  <c r="F25" i="20"/>
  <c r="F26" i="20"/>
  <c r="F28" i="20"/>
  <c r="H28" i="20" s="1"/>
  <c r="F29" i="20"/>
  <c r="H29" i="20" s="1"/>
  <c r="I29" i="20" s="1"/>
  <c r="F30" i="20"/>
  <c r="H30" i="20" s="1"/>
  <c r="F31" i="20"/>
  <c r="H31" i="20" s="1"/>
  <c r="F7" i="20"/>
  <c r="H7" i="20" s="1"/>
  <c r="C32" i="20"/>
  <c r="AG24" i="20" l="1"/>
  <c r="L57" i="20"/>
  <c r="AG57" i="20" s="1"/>
  <c r="AG22" i="20"/>
  <c r="J55" i="20"/>
  <c r="AG55" i="20" s="1"/>
  <c r="AG9" i="20"/>
  <c r="J42" i="20"/>
  <c r="AG42" i="20" s="1"/>
  <c r="AG25" i="20"/>
  <c r="L58" i="20"/>
  <c r="AG58" i="20" s="1"/>
  <c r="AG21" i="20"/>
  <c r="J54" i="20"/>
  <c r="AG54" i="20" s="1"/>
  <c r="AG11" i="20"/>
  <c r="J44" i="20"/>
  <c r="AG44" i="20" s="1"/>
  <c r="AG26" i="20"/>
  <c r="L59" i="20"/>
  <c r="AG59" i="20" s="1"/>
  <c r="AG7" i="20"/>
  <c r="J40" i="20"/>
  <c r="AG8" i="20"/>
  <c r="J41" i="20"/>
  <c r="AG41" i="20" s="1"/>
  <c r="L32" i="20"/>
  <c r="L42" i="20"/>
  <c r="L65" i="20" s="1"/>
  <c r="AG28" i="20"/>
  <c r="J61" i="20"/>
  <c r="AG61" i="20" s="1"/>
  <c r="AG17" i="20"/>
  <c r="J50" i="20"/>
  <c r="AG50" i="20" s="1"/>
  <c r="AG31" i="20"/>
  <c r="J64" i="20"/>
  <c r="AG64" i="20" s="1"/>
  <c r="AG15" i="20"/>
  <c r="J48" i="20"/>
  <c r="AG48" i="20" s="1"/>
  <c r="AG18" i="20"/>
  <c r="J51" i="20"/>
  <c r="AG51" i="20" s="1"/>
  <c r="AG14" i="20"/>
  <c r="J47" i="20"/>
  <c r="AG47" i="20" s="1"/>
  <c r="O22" i="20"/>
  <c r="AG30" i="20"/>
  <c r="J63" i="20"/>
  <c r="AG63" i="20" s="1"/>
  <c r="AG13" i="20"/>
  <c r="J46" i="20"/>
  <c r="AG46" i="20" s="1"/>
  <c r="AG20" i="20"/>
  <c r="J53" i="20"/>
  <c r="AG53" i="20" s="1"/>
  <c r="AG12" i="20"/>
  <c r="L45" i="20"/>
  <c r="AG45" i="20" s="1"/>
  <c r="AG10" i="20"/>
  <c r="J43" i="20"/>
  <c r="AG43" i="20" s="1"/>
  <c r="AG29" i="20"/>
  <c r="J62" i="20"/>
  <c r="AG62" i="20" s="1"/>
  <c r="AG27" i="20"/>
  <c r="J60" i="20"/>
  <c r="AG60" i="20" s="1"/>
  <c r="AG23" i="20"/>
  <c r="J56" i="20"/>
  <c r="AG56" i="20" s="1"/>
  <c r="O49" i="20"/>
  <c r="Q49" i="20" s="1"/>
  <c r="S49" i="20" s="1"/>
  <c r="H57" i="20"/>
  <c r="I57" i="20" s="1"/>
  <c r="O28" i="20"/>
  <c r="O18" i="20"/>
  <c r="P18" i="20" s="1"/>
  <c r="O23" i="20"/>
  <c r="O29" i="20"/>
  <c r="O30" i="20"/>
  <c r="P30" i="20" s="1"/>
  <c r="O31" i="20"/>
  <c r="O19" i="20"/>
  <c r="O20" i="20"/>
  <c r="P7" i="20"/>
  <c r="J32" i="20"/>
  <c r="I50" i="20"/>
  <c r="I49" i="20"/>
  <c r="I48" i="20"/>
  <c r="I47" i="20"/>
  <c r="H60" i="20"/>
  <c r="H41" i="20"/>
  <c r="O41" i="20"/>
  <c r="I58" i="20"/>
  <c r="H53" i="20"/>
  <c r="O63" i="20"/>
  <c r="H46" i="20"/>
  <c r="H52" i="20"/>
  <c r="H61" i="20"/>
  <c r="O61" i="20" s="1"/>
  <c r="O64" i="20"/>
  <c r="H42" i="20"/>
  <c r="O47" i="20"/>
  <c r="O54" i="20"/>
  <c r="H62" i="20"/>
  <c r="O62" i="20" s="1"/>
  <c r="H51" i="20"/>
  <c r="O51" i="20" s="1"/>
  <c r="H40" i="20"/>
  <c r="H45" i="20"/>
  <c r="H59" i="20"/>
  <c r="O59" i="20" s="1"/>
  <c r="I21" i="20"/>
  <c r="I31" i="20"/>
  <c r="I30" i="20"/>
  <c r="I28" i="20"/>
  <c r="I24" i="20"/>
  <c r="O24" i="20"/>
  <c r="H26" i="20"/>
  <c r="H25" i="20"/>
  <c r="I23" i="20"/>
  <c r="O11" i="20"/>
  <c r="I11" i="20"/>
  <c r="O9" i="20"/>
  <c r="I9" i="20"/>
  <c r="O10" i="20"/>
  <c r="I10" i="20"/>
  <c r="I12" i="20"/>
  <c r="O12" i="20"/>
  <c r="I19" i="20"/>
  <c r="I20" i="20"/>
  <c r="I13" i="20"/>
  <c r="O13" i="20"/>
  <c r="H14" i="20"/>
  <c r="H15" i="20"/>
  <c r="O15" i="20" s="1"/>
  <c r="I8" i="20"/>
  <c r="O8" i="20"/>
  <c r="I18" i="20"/>
  <c r="H27" i="20"/>
  <c r="I7" i="20"/>
  <c r="P49" i="20" l="1"/>
  <c r="AG32" i="20"/>
  <c r="AG66" i="20"/>
  <c r="O48" i="20"/>
  <c r="AG33" i="20"/>
  <c r="O43" i="20"/>
  <c r="O44" i="20"/>
  <c r="O55" i="20"/>
  <c r="AG40" i="20"/>
  <c r="AG65" i="20" s="1"/>
  <c r="J65" i="20"/>
  <c r="O42" i="20"/>
  <c r="P42" i="20" s="1"/>
  <c r="O56" i="20"/>
  <c r="O58" i="20"/>
  <c r="O50" i="20"/>
  <c r="P50" i="20" s="1"/>
  <c r="O27" i="20"/>
  <c r="O21" i="20"/>
  <c r="Q21" i="20" s="1"/>
  <c r="S21" i="20" s="1"/>
  <c r="O17" i="20"/>
  <c r="P17" i="20" s="1"/>
  <c r="O16" i="20"/>
  <c r="P16" i="20" s="1"/>
  <c r="Q50" i="20"/>
  <c r="S50" i="20" s="1"/>
  <c r="P62" i="20"/>
  <c r="P59" i="20"/>
  <c r="Q59" i="20"/>
  <c r="S59" i="20" s="1"/>
  <c r="P61" i="20"/>
  <c r="Q61" i="20"/>
  <c r="S61" i="20" s="1"/>
  <c r="I52" i="20"/>
  <c r="O52" i="20"/>
  <c r="P21" i="20"/>
  <c r="P55" i="20"/>
  <c r="I59" i="20"/>
  <c r="I45" i="20"/>
  <c r="P41" i="20"/>
  <c r="I60" i="20"/>
  <c r="I62" i="20"/>
  <c r="O60" i="20"/>
  <c r="Q47" i="20"/>
  <c r="S47" i="20" s="1"/>
  <c r="O45" i="20"/>
  <c r="I53" i="20"/>
  <c r="O53" i="20"/>
  <c r="Q55" i="20"/>
  <c r="S55" i="20" s="1"/>
  <c r="P51" i="20"/>
  <c r="I46" i="20"/>
  <c r="I40" i="20"/>
  <c r="O46" i="20"/>
  <c r="I41" i="20"/>
  <c r="I51" i="20"/>
  <c r="O40" i="20"/>
  <c r="Q54" i="20"/>
  <c r="S54" i="20" s="1"/>
  <c r="I42" i="20"/>
  <c r="I61" i="20"/>
  <c r="Q30" i="20"/>
  <c r="S30" i="20" s="1"/>
  <c r="Q18" i="20"/>
  <c r="P22" i="20"/>
  <c r="Q22" i="20"/>
  <c r="S22" i="20" s="1"/>
  <c r="Q29" i="20"/>
  <c r="S29" i="20" s="1"/>
  <c r="Q28" i="20"/>
  <c r="S28" i="20" s="1"/>
  <c r="T28" i="20" s="1"/>
  <c r="I25" i="20"/>
  <c r="I26" i="20"/>
  <c r="Q24" i="20"/>
  <c r="S24" i="20" s="1"/>
  <c r="O25" i="20"/>
  <c r="O26" i="20"/>
  <c r="Q12" i="20"/>
  <c r="S12" i="20" s="1"/>
  <c r="Q9" i="20"/>
  <c r="S9" i="20" s="1"/>
  <c r="T9" i="20" s="1"/>
  <c r="P15" i="20"/>
  <c r="Q8" i="20"/>
  <c r="S8" i="20" s="1"/>
  <c r="I14" i="20"/>
  <c r="O14" i="20"/>
  <c r="Q10" i="20"/>
  <c r="S10" i="20" s="1"/>
  <c r="I15" i="20"/>
  <c r="Q11" i="20"/>
  <c r="S11" i="20" s="1"/>
  <c r="I27" i="20"/>
  <c r="Q7" i="20"/>
  <c r="S7" i="20" s="1"/>
  <c r="T7" i="20" s="1"/>
  <c r="Q44" i="20" l="1"/>
  <c r="Q48" i="20"/>
  <c r="S48" i="20" s="1"/>
  <c r="S44" i="20"/>
  <c r="U44" i="20"/>
  <c r="O57" i="20"/>
  <c r="P57" i="20" s="1"/>
  <c r="Q40" i="20"/>
  <c r="S40" i="20" s="1"/>
  <c r="Q17" i="20"/>
  <c r="Q16" i="20"/>
  <c r="S16" i="20" s="1"/>
  <c r="S17" i="20"/>
  <c r="T17" i="20" s="1"/>
  <c r="S18" i="20"/>
  <c r="T18" i="20" s="1"/>
  <c r="Q51" i="20"/>
  <c r="S51" i="20" s="1"/>
  <c r="U21" i="20"/>
  <c r="W21" i="20" s="1"/>
  <c r="X21" i="20" s="1"/>
  <c r="T44" i="20"/>
  <c r="W44" i="20"/>
  <c r="T47" i="20"/>
  <c r="T54" i="20"/>
  <c r="U54" i="20"/>
  <c r="W54" i="20" s="1"/>
  <c r="P64" i="20"/>
  <c r="P63" i="20"/>
  <c r="U55" i="20"/>
  <c r="W55" i="20" s="1"/>
  <c r="P47" i="20"/>
  <c r="P48" i="20"/>
  <c r="P43" i="20"/>
  <c r="Q43" i="20"/>
  <c r="S43" i="20" s="1"/>
  <c r="Q63" i="20"/>
  <c r="S63" i="20" s="1"/>
  <c r="Q46" i="20"/>
  <c r="S46" i="20" s="1"/>
  <c r="P58" i="20"/>
  <c r="Q58" i="20"/>
  <c r="S58" i="20" s="1"/>
  <c r="P54" i="20"/>
  <c r="T50" i="20"/>
  <c r="T49" i="20"/>
  <c r="P56" i="20"/>
  <c r="T48" i="20"/>
  <c r="P44" i="20"/>
  <c r="U50" i="20"/>
  <c r="W50" i="20" s="1"/>
  <c r="U49" i="20"/>
  <c r="W49" i="20" s="1"/>
  <c r="Q56" i="20"/>
  <c r="S56" i="20" s="1"/>
  <c r="Q60" i="20"/>
  <c r="S60" i="20" s="1"/>
  <c r="T61" i="20"/>
  <c r="Q64" i="20"/>
  <c r="S64" i="20" s="1"/>
  <c r="Q42" i="20"/>
  <c r="S42" i="20" s="1"/>
  <c r="Q45" i="20"/>
  <c r="S45" i="20" s="1"/>
  <c r="Q41" i="20"/>
  <c r="S41" i="20" s="1"/>
  <c r="Q52" i="20"/>
  <c r="S52" i="20" s="1"/>
  <c r="Q62" i="20"/>
  <c r="S62" i="20" s="1"/>
  <c r="U7" i="20"/>
  <c r="T21" i="20"/>
  <c r="P31" i="20"/>
  <c r="P29" i="20"/>
  <c r="Q31" i="20"/>
  <c r="S31" i="20" s="1"/>
  <c r="T29" i="20"/>
  <c r="P28" i="20"/>
  <c r="T24" i="20"/>
  <c r="Q25" i="20"/>
  <c r="S25" i="20" s="1"/>
  <c r="P24" i="20"/>
  <c r="Q26" i="20"/>
  <c r="S26" i="20" s="1"/>
  <c r="P23" i="20"/>
  <c r="Q23" i="20"/>
  <c r="S23" i="20" s="1"/>
  <c r="P8" i="20"/>
  <c r="T12" i="20"/>
  <c r="P12" i="20"/>
  <c r="P20" i="20"/>
  <c r="P19" i="20"/>
  <c r="Q20" i="20"/>
  <c r="S20" i="20" s="1"/>
  <c r="Q14" i="20"/>
  <c r="S14" i="20" s="1"/>
  <c r="P13" i="20"/>
  <c r="Q13" i="20"/>
  <c r="S13" i="20" s="1"/>
  <c r="T11" i="20"/>
  <c r="Q19" i="20"/>
  <c r="S19" i="20" s="1"/>
  <c r="T8" i="20"/>
  <c r="P9" i="20"/>
  <c r="P11" i="20"/>
  <c r="P10" i="20"/>
  <c r="Q15" i="20"/>
  <c r="S15" i="20" s="1"/>
  <c r="U17" i="20" l="1"/>
  <c r="W17" i="20" s="1"/>
  <c r="U18" i="20"/>
  <c r="W18" i="20" s="1"/>
  <c r="U16" i="20"/>
  <c r="W16" i="20" s="1"/>
  <c r="X16" i="20" s="1"/>
  <c r="Q57" i="20"/>
  <c r="S57" i="20" s="1"/>
  <c r="T40" i="20"/>
  <c r="P40" i="20"/>
  <c r="U48" i="20"/>
  <c r="W48" i="20" s="1"/>
  <c r="U51" i="20"/>
  <c r="W51" i="20" s="1"/>
  <c r="U47" i="20"/>
  <c r="W47" i="20" s="1"/>
  <c r="W7" i="20"/>
  <c r="X7" i="20" s="1"/>
  <c r="U11" i="20"/>
  <c r="W11" i="20" s="1"/>
  <c r="X11" i="20" s="1"/>
  <c r="U8" i="20"/>
  <c r="W8" i="20" s="1"/>
  <c r="X55" i="20"/>
  <c r="T52" i="20"/>
  <c r="U52" i="20"/>
  <c r="W52" i="20" s="1"/>
  <c r="T10" i="20"/>
  <c r="U10" i="20"/>
  <c r="P53" i="20"/>
  <c r="U62" i="20"/>
  <c r="W62" i="20" s="1"/>
  <c r="Q53" i="20"/>
  <c r="S53" i="20" s="1"/>
  <c r="T51" i="20"/>
  <c r="U63" i="20"/>
  <c r="W63" i="20" s="1"/>
  <c r="U41" i="20"/>
  <c r="W41" i="20" s="1"/>
  <c r="T46" i="20"/>
  <c r="T60" i="20"/>
  <c r="P46" i="20"/>
  <c r="P45" i="20"/>
  <c r="P60" i="20"/>
  <c r="Y44" i="20"/>
  <c r="AA44" i="20" s="1"/>
  <c r="AB44" i="20" s="1"/>
  <c r="U58" i="20"/>
  <c r="W58" i="20" s="1"/>
  <c r="P52" i="20"/>
  <c r="U43" i="20"/>
  <c r="W43" i="20" s="1"/>
  <c r="T55" i="20"/>
  <c r="T22" i="20"/>
  <c r="U42" i="20"/>
  <c r="W42" i="20" s="1"/>
  <c r="U56" i="20"/>
  <c r="W56" i="20" s="1"/>
  <c r="T59" i="20"/>
  <c r="U64" i="20"/>
  <c r="W64" i="20" s="1"/>
  <c r="U61" i="20"/>
  <c r="W61" i="20" s="1"/>
  <c r="X48" i="20"/>
  <c r="T45" i="20"/>
  <c r="Y49" i="20"/>
  <c r="AA49" i="20" s="1"/>
  <c r="AB49" i="20" s="1"/>
  <c r="U59" i="20"/>
  <c r="W59" i="20" s="1"/>
  <c r="U28" i="20"/>
  <c r="Y21" i="20"/>
  <c r="AA21" i="20" s="1"/>
  <c r="U22" i="20"/>
  <c r="W22" i="20" s="1"/>
  <c r="U29" i="20"/>
  <c r="W29" i="20" s="1"/>
  <c r="T26" i="20"/>
  <c r="T25" i="20"/>
  <c r="P25" i="20"/>
  <c r="P26" i="20"/>
  <c r="U24" i="20"/>
  <c r="W24" i="20" s="1"/>
  <c r="T14" i="20"/>
  <c r="U12" i="20"/>
  <c r="W12" i="20" s="1"/>
  <c r="P14" i="20"/>
  <c r="Y18" i="20"/>
  <c r="AA18" i="20" s="1"/>
  <c r="AB18" i="20" s="1"/>
  <c r="U13" i="20"/>
  <c r="W13" i="20" s="1"/>
  <c r="T16" i="20"/>
  <c r="Y17" i="20"/>
  <c r="AA17" i="20" s="1"/>
  <c r="AB17" i="20" s="1"/>
  <c r="U15" i="20"/>
  <c r="W15" i="20" s="1"/>
  <c r="U19" i="20"/>
  <c r="W19" i="20" s="1"/>
  <c r="U9" i="20"/>
  <c r="W9" i="20" s="1"/>
  <c r="P27" i="20"/>
  <c r="Q27" i="20"/>
  <c r="S27" i="20" s="1"/>
  <c r="Y47" i="20" l="1"/>
  <c r="AA47" i="20" s="1"/>
  <c r="AB47" i="20" s="1"/>
  <c r="Y48" i="20"/>
  <c r="AA48" i="20" s="1"/>
  <c r="AB48" i="20" s="1"/>
  <c r="AD48" i="20" s="1"/>
  <c r="AE48" i="20" s="1"/>
  <c r="U57" i="20"/>
  <c r="U40" i="20"/>
  <c r="W40" i="20" s="1"/>
  <c r="Y55" i="20"/>
  <c r="AA55" i="20" s="1"/>
  <c r="AB55" i="20" s="1"/>
  <c r="X51" i="20"/>
  <c r="Y7" i="20"/>
  <c r="AA7" i="20" s="1"/>
  <c r="AB7" i="20" s="1"/>
  <c r="AD7" i="20" s="1"/>
  <c r="AE7" i="20" s="1"/>
  <c r="AD55" i="20"/>
  <c r="AE55" i="20" s="1"/>
  <c r="W28" i="20"/>
  <c r="X28" i="20" s="1"/>
  <c r="Y8" i="20"/>
  <c r="AA8" i="20" s="1"/>
  <c r="AB8" i="20" s="1"/>
  <c r="W10" i="20"/>
  <c r="Y10" i="20" s="1"/>
  <c r="AA10" i="20" s="1"/>
  <c r="X43" i="20"/>
  <c r="Y43" i="20"/>
  <c r="AA43" i="20" s="1"/>
  <c r="AB43" i="20" s="1"/>
  <c r="X56" i="20"/>
  <c r="X41" i="20"/>
  <c r="X63" i="20"/>
  <c r="Y63" i="20"/>
  <c r="AA63" i="20" s="1"/>
  <c r="AB63" i="20" s="1"/>
  <c r="T58" i="20"/>
  <c r="X58" i="20"/>
  <c r="T41" i="20"/>
  <c r="X64" i="20"/>
  <c r="X44" i="20"/>
  <c r="AD44" i="20" s="1"/>
  <c r="AE44" i="20" s="1"/>
  <c r="AC44" i="20"/>
  <c r="T64" i="20"/>
  <c r="U60" i="20"/>
  <c r="W60" i="20" s="1"/>
  <c r="U53" i="20"/>
  <c r="W53" i="20" s="1"/>
  <c r="X50" i="20"/>
  <c r="X49" i="20"/>
  <c r="AD49" i="20" s="1"/>
  <c r="AE49" i="20" s="1"/>
  <c r="AC49" i="20"/>
  <c r="X42" i="20"/>
  <c r="T42" i="20"/>
  <c r="U30" i="20"/>
  <c r="W30" i="20" s="1"/>
  <c r="T30" i="20"/>
  <c r="U45" i="20"/>
  <c r="W45" i="20" s="1"/>
  <c r="AC48" i="20"/>
  <c r="X54" i="20"/>
  <c r="X62" i="20"/>
  <c r="T43" i="20"/>
  <c r="T56" i="20"/>
  <c r="T63" i="20"/>
  <c r="Y50" i="20"/>
  <c r="AA50" i="20" s="1"/>
  <c r="AB50" i="20" s="1"/>
  <c r="X47" i="20"/>
  <c r="AD47" i="20" s="1"/>
  <c r="AE47" i="20" s="1"/>
  <c r="AC47" i="20"/>
  <c r="Y54" i="20"/>
  <c r="AA54" i="20" s="1"/>
  <c r="AB54" i="20" s="1"/>
  <c r="U46" i="20"/>
  <c r="W46" i="20" s="1"/>
  <c r="T62" i="20"/>
  <c r="Y16" i="20"/>
  <c r="AA16" i="20" s="1"/>
  <c r="AB16" i="20" s="1"/>
  <c r="AD16" i="20" s="1"/>
  <c r="AE16" i="20" s="1"/>
  <c r="AB21" i="20"/>
  <c r="AD21" i="20" s="1"/>
  <c r="AE21" i="20" s="1"/>
  <c r="AC21" i="20"/>
  <c r="U26" i="20"/>
  <c r="W26" i="20" s="1"/>
  <c r="T31" i="20"/>
  <c r="U31" i="20"/>
  <c r="W31" i="20" s="1"/>
  <c r="Y29" i="20"/>
  <c r="AA29" i="20" s="1"/>
  <c r="AB29" i="20" s="1"/>
  <c r="U25" i="20"/>
  <c r="W25" i="20" s="1"/>
  <c r="Y24" i="20"/>
  <c r="AA24" i="20" s="1"/>
  <c r="AB24" i="20" s="1"/>
  <c r="T23" i="20"/>
  <c r="U23" i="20"/>
  <c r="W23" i="20" s="1"/>
  <c r="X15" i="20"/>
  <c r="X8" i="20"/>
  <c r="T20" i="20"/>
  <c r="U20" i="20"/>
  <c r="W20" i="20" s="1"/>
  <c r="T19" i="20"/>
  <c r="T13" i="20"/>
  <c r="X19" i="20"/>
  <c r="Y11" i="20"/>
  <c r="AA11" i="20" s="1"/>
  <c r="X18" i="20"/>
  <c r="AD18" i="20" s="1"/>
  <c r="AE18" i="20" s="1"/>
  <c r="AC18" i="20"/>
  <c r="X13" i="20"/>
  <c r="T15" i="20"/>
  <c r="X17" i="20"/>
  <c r="AD17" i="20" s="1"/>
  <c r="AE17" i="20" s="1"/>
  <c r="AC17" i="20"/>
  <c r="U14" i="20"/>
  <c r="W14" i="20" s="1"/>
  <c r="U27" i="20"/>
  <c r="W27" i="20" s="1"/>
  <c r="AD8" i="20" l="1"/>
  <c r="AE8" i="20" s="1"/>
  <c r="AC8" i="20"/>
  <c r="W57" i="20"/>
  <c r="X57" i="20" s="1"/>
  <c r="AC55" i="20"/>
  <c r="T57" i="20"/>
  <c r="Y40" i="20"/>
  <c r="AA40" i="20" s="1"/>
  <c r="AB40" i="20" s="1"/>
  <c r="Y56" i="20"/>
  <c r="AA56" i="20" s="1"/>
  <c r="AB56" i="20" s="1"/>
  <c r="AD56" i="20" s="1"/>
  <c r="AE56" i="20" s="1"/>
  <c r="AD54" i="20"/>
  <c r="AE54" i="20" s="1"/>
  <c r="Y28" i="20"/>
  <c r="AA28" i="20" s="1"/>
  <c r="AB28" i="20" s="1"/>
  <c r="AD28" i="20" s="1"/>
  <c r="AE28" i="20" s="1"/>
  <c r="X10" i="20"/>
  <c r="AC43" i="20"/>
  <c r="Y51" i="20"/>
  <c r="AA51" i="20" s="1"/>
  <c r="AD43" i="20"/>
  <c r="AE43" i="20" s="1"/>
  <c r="AB10" i="20"/>
  <c r="AC10" i="20"/>
  <c r="AC63" i="20"/>
  <c r="AD63" i="20"/>
  <c r="AE63" i="20" s="1"/>
  <c r="AC54" i="20"/>
  <c r="Y62" i="20"/>
  <c r="AA62" i="20" s="1"/>
  <c r="X53" i="20"/>
  <c r="Y64" i="20"/>
  <c r="AA64" i="20" s="1"/>
  <c r="AB64" i="20" s="1"/>
  <c r="AD64" i="20" s="1"/>
  <c r="AE64" i="20" s="1"/>
  <c r="T53" i="20"/>
  <c r="Y46" i="20"/>
  <c r="AA46" i="20" s="1"/>
  <c r="AB46" i="20" s="1"/>
  <c r="Y42" i="20"/>
  <c r="AA42" i="20" s="1"/>
  <c r="AB42" i="20" s="1"/>
  <c r="AD42" i="20" s="1"/>
  <c r="AE42" i="20" s="1"/>
  <c r="Y41" i="20"/>
  <c r="AA41" i="20" s="1"/>
  <c r="X52" i="20"/>
  <c r="Y30" i="20"/>
  <c r="AA30" i="20" s="1"/>
  <c r="AB30" i="20" s="1"/>
  <c r="AC50" i="20"/>
  <c r="Y52" i="20"/>
  <c r="AA52" i="20" s="1"/>
  <c r="AB52" i="20" s="1"/>
  <c r="X61" i="20"/>
  <c r="X59" i="20"/>
  <c r="AD50" i="20"/>
  <c r="AE50" i="20" s="1"/>
  <c r="Y58" i="20"/>
  <c r="AA58" i="20" s="1"/>
  <c r="AB58" i="20" s="1"/>
  <c r="AD58" i="20" s="1"/>
  <c r="AE58" i="20" s="1"/>
  <c r="Y61" i="20"/>
  <c r="AA61" i="20" s="1"/>
  <c r="AB61" i="20" s="1"/>
  <c r="Y59" i="20"/>
  <c r="AA59" i="20" s="1"/>
  <c r="AB59" i="20" s="1"/>
  <c r="AC16" i="20"/>
  <c r="Y13" i="20"/>
  <c r="AA13" i="20" s="1"/>
  <c r="AB13" i="20" s="1"/>
  <c r="AD13" i="20" s="1"/>
  <c r="AE13" i="20" s="1"/>
  <c r="X22" i="20"/>
  <c r="Y22" i="20"/>
  <c r="AA22" i="20" s="1"/>
  <c r="AB22" i="20" s="1"/>
  <c r="X29" i="20"/>
  <c r="AD29" i="20" s="1"/>
  <c r="AE29" i="20" s="1"/>
  <c r="AC29" i="20"/>
  <c r="X24" i="20"/>
  <c r="AD24" i="20" s="1"/>
  <c r="AE24" i="20" s="1"/>
  <c r="AC24" i="20"/>
  <c r="X26" i="20"/>
  <c r="Y26" i="20"/>
  <c r="AA26" i="20" s="1"/>
  <c r="AB26" i="20" s="1"/>
  <c r="Y25" i="20"/>
  <c r="AA25" i="20" s="1"/>
  <c r="AB25" i="20" s="1"/>
  <c r="Y14" i="20"/>
  <c r="AA14" i="20" s="1"/>
  <c r="AB14" i="20" s="1"/>
  <c r="Y20" i="20"/>
  <c r="AA20" i="20" s="1"/>
  <c r="AB20" i="20" s="1"/>
  <c r="Y19" i="20"/>
  <c r="AA19" i="20" s="1"/>
  <c r="AB19" i="20" s="1"/>
  <c r="AD19" i="20" s="1"/>
  <c r="AE19" i="20" s="1"/>
  <c r="X9" i="20"/>
  <c r="AB11" i="20"/>
  <c r="AD11" i="20" s="1"/>
  <c r="AE11" i="20" s="1"/>
  <c r="AC11" i="20"/>
  <c r="Y9" i="20"/>
  <c r="AA9" i="20" s="1"/>
  <c r="AB9" i="20" s="1"/>
  <c r="X12" i="20"/>
  <c r="Y12" i="20"/>
  <c r="AA12" i="20" s="1"/>
  <c r="AB12" i="20" s="1"/>
  <c r="Y15" i="20"/>
  <c r="AA15" i="20" s="1"/>
  <c r="X27" i="20"/>
  <c r="T27" i="20"/>
  <c r="AC28" i="20" l="1"/>
  <c r="AD10" i="20"/>
  <c r="AE10" i="20" s="1"/>
  <c r="Y57" i="20"/>
  <c r="AA57" i="20" s="1"/>
  <c r="X40" i="20"/>
  <c r="AC40" i="20"/>
  <c r="AC58" i="20"/>
  <c r="AC56" i="20"/>
  <c r="AB51" i="20"/>
  <c r="AD51" i="20" s="1"/>
  <c r="AE51" i="20" s="1"/>
  <c r="AC51" i="20"/>
  <c r="AC42" i="20"/>
  <c r="AC52" i="20"/>
  <c r="AD59" i="20"/>
  <c r="AE59" i="20" s="1"/>
  <c r="AC61" i="20"/>
  <c r="AB62" i="20"/>
  <c r="AD62" i="20" s="1"/>
  <c r="AE62" i="20" s="1"/>
  <c r="AC62" i="20"/>
  <c r="AD61" i="20"/>
  <c r="AE61" i="20" s="1"/>
  <c r="AC64" i="20"/>
  <c r="X60" i="20"/>
  <c r="AD52" i="20"/>
  <c r="AE52" i="20" s="1"/>
  <c r="Y60" i="20"/>
  <c r="AA60" i="20" s="1"/>
  <c r="AB60" i="20" s="1"/>
  <c r="AB41" i="20"/>
  <c r="AD41" i="20" s="1"/>
  <c r="AE41" i="20" s="1"/>
  <c r="AC41" i="20"/>
  <c r="X45" i="20"/>
  <c r="Y45" i="20"/>
  <c r="AA45" i="20" s="1"/>
  <c r="AB45" i="20" s="1"/>
  <c r="X30" i="20"/>
  <c r="AD30" i="20" s="1"/>
  <c r="AE30" i="20" s="1"/>
  <c r="AC30" i="20"/>
  <c r="AC59" i="20"/>
  <c r="X46" i="20"/>
  <c r="AD46" i="20" s="1"/>
  <c r="AE46" i="20" s="1"/>
  <c r="AC46" i="20"/>
  <c r="Y53" i="20"/>
  <c r="AA53" i="20" s="1"/>
  <c r="AD9" i="20"/>
  <c r="AE9" i="20" s="1"/>
  <c r="AC13" i="20"/>
  <c r="AC19" i="20"/>
  <c r="AC22" i="20"/>
  <c r="AD22" i="20"/>
  <c r="AE22" i="20" s="1"/>
  <c r="X31" i="20"/>
  <c r="Y31" i="20"/>
  <c r="AA31" i="20" s="1"/>
  <c r="AB31" i="20" s="1"/>
  <c r="X25" i="20"/>
  <c r="AD25" i="20" s="1"/>
  <c r="AE25" i="20" s="1"/>
  <c r="AC25" i="20"/>
  <c r="AC26" i="20"/>
  <c r="AD26" i="20"/>
  <c r="AE26" i="20" s="1"/>
  <c r="X23" i="20"/>
  <c r="Y23" i="20"/>
  <c r="AA23" i="20" s="1"/>
  <c r="AB23" i="20" s="1"/>
  <c r="AB15" i="20"/>
  <c r="AD15" i="20" s="1"/>
  <c r="AE15" i="20" s="1"/>
  <c r="AC15" i="20"/>
  <c r="AC12" i="20"/>
  <c r="AD12" i="20"/>
  <c r="AE12" i="20" s="1"/>
  <c r="X20" i="20"/>
  <c r="AD20" i="20" s="1"/>
  <c r="AE20" i="20" s="1"/>
  <c r="AC20" i="20"/>
  <c r="AC9" i="20"/>
  <c r="X14" i="20"/>
  <c r="AD14" i="20" s="1"/>
  <c r="AE14" i="20" s="1"/>
  <c r="AC14" i="20"/>
  <c r="Y27" i="20"/>
  <c r="AA27" i="20" s="1"/>
  <c r="AB57" i="20" l="1"/>
  <c r="AD57" i="20" s="1"/>
  <c r="AE57" i="20" s="1"/>
  <c r="AC57" i="20"/>
  <c r="AC45" i="20"/>
  <c r="AD45" i="20"/>
  <c r="AE45" i="20" s="1"/>
  <c r="AB53" i="20"/>
  <c r="AD53" i="20" s="1"/>
  <c r="AE53" i="20" s="1"/>
  <c r="AC53" i="20"/>
  <c r="AD40" i="20"/>
  <c r="AC60" i="20"/>
  <c r="AC65" i="20" s="1"/>
  <c r="AD60" i="20"/>
  <c r="AE60" i="20" s="1"/>
  <c r="AC31" i="20"/>
  <c r="AD31" i="20"/>
  <c r="AE31" i="20" s="1"/>
  <c r="AC23" i="20"/>
  <c r="AD23" i="20"/>
  <c r="AE23" i="20" s="1"/>
  <c r="AB27" i="20"/>
  <c r="AD27" i="20" s="1"/>
  <c r="AC27" i="20"/>
  <c r="AC32" i="20" l="1"/>
  <c r="AC33" i="20" s="1"/>
  <c r="AD65" i="20"/>
  <c r="AE65" i="20" s="1"/>
  <c r="AE40" i="20"/>
  <c r="AD32" i="20"/>
  <c r="AE32" i="20" s="1"/>
  <c r="AE27" i="20"/>
  <c r="G165" i="28" l="1"/>
  <c r="G166" i="28"/>
  <c r="G167" i="28"/>
  <c r="G168" i="28"/>
  <c r="G169" i="28"/>
  <c r="G170" i="28"/>
  <c r="G171" i="28"/>
  <c r="G172" i="28"/>
  <c r="H165" i="28"/>
  <c r="H166" i="28"/>
  <c r="H167" i="28"/>
  <c r="H168" i="28"/>
  <c r="H169" i="28"/>
  <c r="H170" i="28"/>
  <c r="H171" i="28"/>
  <c r="H172" i="28"/>
  <c r="H164" i="28"/>
  <c r="G164" i="28"/>
  <c r="F165" i="28"/>
  <c r="F166" i="28"/>
  <c r="F167" i="28"/>
  <c r="F168" i="28"/>
  <c r="F169" i="28"/>
  <c r="F170" i="28"/>
  <c r="F171" i="28"/>
  <c r="F172" i="28"/>
  <c r="F164" i="28"/>
  <c r="E165" i="28"/>
  <c r="E166" i="28"/>
  <c r="E167" i="28"/>
  <c r="E168" i="28"/>
  <c r="E169" i="28"/>
  <c r="E170" i="28"/>
  <c r="E171" i="28"/>
  <c r="E172" i="28"/>
  <c r="D164" i="28"/>
  <c r="E164" i="28"/>
  <c r="D165" i="28"/>
  <c r="D166" i="28"/>
  <c r="D167" i="28"/>
  <c r="D168" i="28"/>
  <c r="D169" i="28"/>
  <c r="D170" i="28"/>
  <c r="D171" i="28"/>
  <c r="D172" i="28"/>
  <c r="C165" i="28"/>
  <c r="C166" i="28"/>
  <c r="C167" i="28"/>
  <c r="C168" i="28"/>
  <c r="C169" i="28"/>
  <c r="C170" i="28"/>
  <c r="C171" i="28"/>
  <c r="C172" i="28"/>
  <c r="C164" i="28"/>
  <c r="B165" i="28"/>
  <c r="B166" i="28"/>
  <c r="B167" i="28"/>
  <c r="B168" i="28"/>
  <c r="B169" i="28"/>
  <c r="B170" i="28"/>
  <c r="B171" i="28"/>
  <c r="B172" i="28"/>
  <c r="B164" i="28"/>
  <c r="B141" i="28" l="1"/>
  <c r="B142" i="28"/>
  <c r="B143" i="28"/>
  <c r="B144" i="28"/>
  <c r="B145" i="28"/>
  <c r="B146" i="28"/>
  <c r="B147" i="28"/>
  <c r="B148" i="28"/>
  <c r="C141" i="28"/>
  <c r="C142" i="28"/>
  <c r="C143" i="28"/>
  <c r="C144" i="28"/>
  <c r="C145" i="28"/>
  <c r="C146" i="28"/>
  <c r="C147" i="28"/>
  <c r="C148" i="28"/>
  <c r="D141" i="28"/>
  <c r="D142" i="28"/>
  <c r="D143" i="28"/>
  <c r="D144" i="28"/>
  <c r="D145" i="28"/>
  <c r="D146" i="28"/>
  <c r="D147" i="28"/>
  <c r="D148" i="28"/>
  <c r="E141" i="28"/>
  <c r="E142" i="28"/>
  <c r="E143" i="28"/>
  <c r="E144" i="28"/>
  <c r="E145" i="28"/>
  <c r="E146" i="28"/>
  <c r="E147" i="28"/>
  <c r="E148" i="28"/>
  <c r="B140" i="28"/>
  <c r="C140" i="28"/>
  <c r="D140" i="28"/>
  <c r="F140" i="28"/>
  <c r="E140" i="28"/>
  <c r="F141" i="28"/>
  <c r="F142" i="28"/>
  <c r="F143" i="28"/>
  <c r="F144" i="28"/>
  <c r="F145" i="28"/>
  <c r="F146" i="28"/>
  <c r="F147" i="28"/>
  <c r="F148" i="28"/>
  <c r="G141" i="28"/>
  <c r="G142" i="28"/>
  <c r="G143" i="28"/>
  <c r="G144" i="28"/>
  <c r="G145" i="28"/>
  <c r="G146" i="28"/>
  <c r="G147" i="28"/>
  <c r="G148" i="28"/>
  <c r="H143" i="28"/>
  <c r="H141" i="28"/>
  <c r="H142" i="28"/>
  <c r="H144" i="28"/>
  <c r="H145" i="28"/>
  <c r="H146" i="28"/>
  <c r="H147" i="28"/>
  <c r="H148" i="28"/>
  <c r="G140" i="28"/>
  <c r="H140" i="28"/>
  <c r="C105" i="28"/>
  <c r="D105" i="28"/>
  <c r="E105" i="28"/>
  <c r="F105" i="28"/>
  <c r="G105" i="28"/>
  <c r="H105" i="28"/>
  <c r="I105" i="28"/>
  <c r="J105" i="28"/>
  <c r="K105" i="28"/>
  <c r="L105" i="28"/>
  <c r="M105" i="28"/>
  <c r="N105" i="28"/>
  <c r="C112" i="28"/>
  <c r="D112" i="28"/>
  <c r="E112" i="28"/>
  <c r="F112" i="28"/>
  <c r="G112" i="28"/>
  <c r="H112" i="28"/>
  <c r="I112" i="28"/>
  <c r="J112" i="28"/>
  <c r="K112" i="28"/>
  <c r="L112" i="28"/>
  <c r="M112" i="28"/>
  <c r="N112" i="28"/>
  <c r="C118" i="28"/>
  <c r="D118" i="28"/>
  <c r="E118" i="28"/>
  <c r="F118" i="28"/>
  <c r="G118" i="28"/>
  <c r="H118" i="28"/>
  <c r="I118" i="28"/>
  <c r="J118" i="28"/>
  <c r="K118" i="28"/>
  <c r="L118" i="28"/>
  <c r="M118" i="28"/>
  <c r="N118" i="28"/>
  <c r="L48" i="25" l="1"/>
  <c r="L47" i="25"/>
  <c r="L40" i="25"/>
  <c r="L39" i="25"/>
  <c r="L38" i="25"/>
  <c r="L37" i="25"/>
  <c r="L30" i="25"/>
  <c r="L29" i="25"/>
  <c r="L28" i="25"/>
  <c r="L27" i="25"/>
  <c r="L20" i="25"/>
  <c r="L19" i="25"/>
  <c r="L18" i="25"/>
  <c r="L17" i="25"/>
  <c r="L10" i="25"/>
  <c r="L9" i="25"/>
  <c r="L8" i="25"/>
  <c r="L7" i="25"/>
  <c r="K16" i="25"/>
  <c r="K17" i="25"/>
  <c r="K26" i="25"/>
  <c r="K27" i="25"/>
  <c r="K36" i="25"/>
  <c r="K37" i="25"/>
  <c r="K46" i="25"/>
  <c r="K47" i="25"/>
  <c r="J8" i="25"/>
  <c r="K8" i="25" s="1"/>
  <c r="J9" i="25"/>
  <c r="J10" i="25"/>
  <c r="K10" i="25" s="1"/>
  <c r="J11" i="25"/>
  <c r="K11" i="25" s="1"/>
  <c r="J12" i="25"/>
  <c r="K12" i="25" s="1"/>
  <c r="J13" i="25"/>
  <c r="L13" i="25" s="1"/>
  <c r="J14" i="25"/>
  <c r="L14" i="25" s="1"/>
  <c r="J15" i="25"/>
  <c r="K15" i="25" s="1"/>
  <c r="J16" i="25"/>
  <c r="L16" i="25" s="1"/>
  <c r="J17" i="25"/>
  <c r="J18" i="25"/>
  <c r="K18" i="25" s="1"/>
  <c r="J19" i="25"/>
  <c r="J20" i="25"/>
  <c r="K20" i="25" s="1"/>
  <c r="J21" i="25"/>
  <c r="K21" i="25" s="1"/>
  <c r="J22" i="25"/>
  <c r="L22" i="25" s="1"/>
  <c r="J23" i="25"/>
  <c r="L23" i="25" s="1"/>
  <c r="J24" i="25"/>
  <c r="L24" i="25" s="1"/>
  <c r="J25" i="25"/>
  <c r="K25" i="25" s="1"/>
  <c r="J26" i="25"/>
  <c r="L26" i="25" s="1"/>
  <c r="J27" i="25"/>
  <c r="J28" i="25"/>
  <c r="K28" i="25" s="1"/>
  <c r="J29" i="25"/>
  <c r="J30" i="25"/>
  <c r="K30" i="25" s="1"/>
  <c r="J31" i="25"/>
  <c r="K31" i="25" s="1"/>
  <c r="J32" i="25"/>
  <c r="L32" i="25" s="1"/>
  <c r="J33" i="25"/>
  <c r="L33" i="25" s="1"/>
  <c r="J34" i="25"/>
  <c r="L34" i="25" s="1"/>
  <c r="J35" i="25"/>
  <c r="K35" i="25" s="1"/>
  <c r="J36" i="25"/>
  <c r="L36" i="25" s="1"/>
  <c r="J37" i="25"/>
  <c r="J38" i="25"/>
  <c r="K38" i="25" s="1"/>
  <c r="J39" i="25"/>
  <c r="J40" i="25"/>
  <c r="K40" i="25" s="1"/>
  <c r="J41" i="25"/>
  <c r="K41" i="25" s="1"/>
  <c r="J42" i="25"/>
  <c r="K42" i="25" s="1"/>
  <c r="J43" i="25"/>
  <c r="L43" i="25" s="1"/>
  <c r="J44" i="25"/>
  <c r="L44" i="25" s="1"/>
  <c r="J45" i="25"/>
  <c r="K45" i="25" s="1"/>
  <c r="J46" i="25"/>
  <c r="L46" i="25" s="1"/>
  <c r="J47" i="25"/>
  <c r="J48" i="25"/>
  <c r="K48" i="25" s="1"/>
  <c r="J7" i="25"/>
  <c r="I8" i="25"/>
  <c r="I9" i="25"/>
  <c r="K9" i="25" s="1"/>
  <c r="I10" i="25"/>
  <c r="I11" i="25"/>
  <c r="I12" i="25"/>
  <c r="I13" i="25"/>
  <c r="I14" i="25"/>
  <c r="I15" i="25"/>
  <c r="I16" i="25"/>
  <c r="I17" i="25"/>
  <c r="I18" i="25"/>
  <c r="I19" i="25"/>
  <c r="K19" i="25" s="1"/>
  <c r="I20" i="25"/>
  <c r="I21" i="25"/>
  <c r="I22" i="25"/>
  <c r="I23" i="25"/>
  <c r="I24" i="25"/>
  <c r="I25" i="25"/>
  <c r="I26" i="25"/>
  <c r="I27" i="25"/>
  <c r="I28" i="25"/>
  <c r="I29" i="25"/>
  <c r="K29" i="25" s="1"/>
  <c r="I30" i="25"/>
  <c r="I31" i="25"/>
  <c r="I32" i="25"/>
  <c r="I33" i="25"/>
  <c r="I34" i="25"/>
  <c r="I35" i="25"/>
  <c r="I36" i="25"/>
  <c r="I37" i="25"/>
  <c r="I38" i="25"/>
  <c r="I39" i="25"/>
  <c r="K39" i="25" s="1"/>
  <c r="I40" i="25"/>
  <c r="I41" i="25"/>
  <c r="I42" i="25"/>
  <c r="I43" i="25"/>
  <c r="I44" i="25"/>
  <c r="I45" i="25"/>
  <c r="I46" i="25"/>
  <c r="I47" i="25"/>
  <c r="I48" i="25"/>
  <c r="I7" i="25"/>
  <c r="K7" i="25" s="1"/>
  <c r="M24" i="19"/>
  <c r="K33" i="25" l="1"/>
  <c r="L31" i="25"/>
  <c r="K34" i="25"/>
  <c r="L15" i="25"/>
  <c r="L25" i="25"/>
  <c r="L35" i="25"/>
  <c r="L45" i="25"/>
  <c r="K14" i="25"/>
  <c r="K44" i="25"/>
  <c r="K24" i="25"/>
  <c r="K43" i="25"/>
  <c r="K23" i="25"/>
  <c r="K13" i="25"/>
  <c r="L11" i="25"/>
  <c r="L21" i="25"/>
  <c r="L41" i="25"/>
  <c r="K32" i="25"/>
  <c r="K22" i="25"/>
  <c r="L12" i="25"/>
  <c r="L42" i="25"/>
  <c r="F25" i="19" l="1"/>
  <c r="G25" i="19" s="1"/>
  <c r="K25" i="19" s="1"/>
  <c r="D26" i="19"/>
  <c r="G14" i="19"/>
  <c r="K14" i="19" s="1"/>
  <c r="E15" i="19"/>
  <c r="E16" i="19"/>
  <c r="E17" i="19"/>
  <c r="E18" i="19"/>
  <c r="E19" i="19"/>
  <c r="E24" i="19"/>
  <c r="H12" i="19"/>
  <c r="H13" i="19"/>
  <c r="H15" i="19"/>
  <c r="H22" i="19"/>
  <c r="H23" i="19"/>
  <c r="H24" i="19"/>
  <c r="G12" i="19"/>
  <c r="K12" i="19"/>
  <c r="K13" i="19"/>
  <c r="K15" i="19"/>
  <c r="K16" i="19"/>
  <c r="K17" i="19"/>
  <c r="K24" i="19"/>
  <c r="M12" i="19"/>
  <c r="E12" i="19" s="1"/>
  <c r="M13" i="19"/>
  <c r="E13" i="19" s="1"/>
  <c r="M14" i="19"/>
  <c r="E14" i="19" s="1"/>
  <c r="M15" i="19"/>
  <c r="M16" i="19"/>
  <c r="H16" i="19" s="1"/>
  <c r="M17" i="19"/>
  <c r="M18" i="19"/>
  <c r="M19" i="19"/>
  <c r="M20" i="19"/>
  <c r="E20" i="19" s="1"/>
  <c r="M21" i="19"/>
  <c r="E21" i="19" s="1"/>
  <c r="M22" i="19"/>
  <c r="E22" i="19" s="1"/>
  <c r="M23" i="19"/>
  <c r="E23" i="19" s="1"/>
  <c r="M25" i="19"/>
  <c r="E25" i="19" s="1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11" i="19"/>
  <c r="H11" i="19" s="1"/>
  <c r="G11" i="19"/>
  <c r="K11" i="19" s="1"/>
  <c r="G13" i="19"/>
  <c r="G15" i="19"/>
  <c r="G16" i="19"/>
  <c r="G17" i="19"/>
  <c r="H17" i="19" s="1"/>
  <c r="G18" i="19"/>
  <c r="K18" i="19" s="1"/>
  <c r="G19" i="19"/>
  <c r="H19" i="19" s="1"/>
  <c r="G20" i="19"/>
  <c r="H20" i="19" s="1"/>
  <c r="G21" i="19"/>
  <c r="K21" i="19" s="1"/>
  <c r="G22" i="19"/>
  <c r="K22" i="19" s="1"/>
  <c r="G23" i="19"/>
  <c r="K23" i="19" s="1"/>
  <c r="G24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K20" i="19" l="1"/>
  <c r="H25" i="19"/>
  <c r="K19" i="19"/>
  <c r="H14" i="19"/>
  <c r="H18" i="19"/>
  <c r="F26" i="19"/>
  <c r="G26" i="19" s="1"/>
  <c r="H26" i="19" s="1"/>
  <c r="E11" i="19"/>
  <c r="H21" i="19"/>
  <c r="E26" i="19"/>
  <c r="D27" i="19"/>
  <c r="J26" i="19" l="1"/>
  <c r="F27" i="19"/>
  <c r="G27" i="19" s="1"/>
  <c r="H27" i="19" s="1"/>
  <c r="F28" i="19"/>
  <c r="G28" i="19" s="1"/>
  <c r="H28" i="19" s="1"/>
  <c r="F29" i="19"/>
  <c r="G29" i="19" s="1"/>
  <c r="H29" i="19" s="1"/>
  <c r="D28" i="19"/>
  <c r="J28" i="19" s="1"/>
  <c r="E27" i="19"/>
  <c r="F30" i="19" l="1"/>
  <c r="J27" i="19"/>
  <c r="E28" i="19"/>
  <c r="D29" i="19"/>
  <c r="J29" i="19" s="1"/>
  <c r="G30" i="19" l="1"/>
  <c r="H30" i="19" s="1"/>
  <c r="F31" i="19"/>
  <c r="F32" i="19"/>
  <c r="G32" i="19" s="1"/>
  <c r="D30" i="19"/>
  <c r="J30" i="19" s="1"/>
  <c r="E29" i="19"/>
  <c r="H32" i="19"/>
  <c r="F33" i="19" l="1"/>
  <c r="G31" i="19"/>
  <c r="H31" i="19" s="1"/>
  <c r="D31" i="19"/>
  <c r="D32" i="19"/>
  <c r="E30" i="19"/>
  <c r="E31" i="19" l="1"/>
  <c r="J31" i="19"/>
  <c r="D33" i="19"/>
  <c r="G33" i="19"/>
  <c r="H33" i="19" s="1"/>
  <c r="F34" i="19"/>
  <c r="D34" i="19"/>
  <c r="J32" i="19"/>
  <c r="D35" i="19"/>
  <c r="E32" i="19"/>
  <c r="E34" i="19" l="1"/>
  <c r="G34" i="19"/>
  <c r="H34" i="19" s="1"/>
  <c r="F35" i="19"/>
  <c r="E33" i="19"/>
  <c r="J33" i="19"/>
  <c r="D36" i="19"/>
  <c r="E35" i="19"/>
  <c r="G35" i="19" l="1"/>
  <c r="F36" i="19"/>
  <c r="F37" i="19" s="1"/>
  <c r="J34" i="19"/>
  <c r="E36" i="19"/>
  <c r="D37" i="19"/>
  <c r="G37" i="19" l="1"/>
  <c r="H37" i="19" s="1"/>
  <c r="J37" i="19"/>
  <c r="J35" i="19"/>
  <c r="H35" i="19"/>
  <c r="G36" i="19"/>
  <c r="F39" i="19"/>
  <c r="G39" i="19" s="1"/>
  <c r="H39" i="19" s="1"/>
  <c r="F38" i="19"/>
  <c r="E37" i="19"/>
  <c r="D38" i="19"/>
  <c r="F40" i="19" l="1"/>
  <c r="G38" i="19"/>
  <c r="H38" i="19" s="1"/>
  <c r="D39" i="19"/>
  <c r="J39" i="19" s="1"/>
  <c r="J38" i="19"/>
  <c r="F41" i="19"/>
  <c r="G41" i="19" s="1"/>
  <c r="H41" i="19" s="1"/>
  <c r="H36" i="19"/>
  <c r="J36" i="19"/>
  <c r="E38" i="19"/>
  <c r="D40" i="19"/>
  <c r="D41" i="19" l="1"/>
  <c r="J41" i="19" s="1"/>
  <c r="E39" i="19"/>
  <c r="F42" i="19"/>
  <c r="G42" i="19" s="1"/>
  <c r="H42" i="19" s="1"/>
  <c r="G40" i="19"/>
  <c r="H40" i="19" s="1"/>
  <c r="E41" i="19"/>
  <c r="E40" i="19"/>
  <c r="D42" i="19"/>
  <c r="F43" i="19" l="1"/>
  <c r="J40" i="19"/>
  <c r="J42" i="19"/>
  <c r="E42" i="19"/>
  <c r="D43" i="19"/>
  <c r="D44" i="19"/>
  <c r="G43" i="19" l="1"/>
  <c r="H43" i="19" s="1"/>
  <c r="F44" i="19"/>
  <c r="F45" i="19"/>
  <c r="J43" i="19"/>
  <c r="F46" i="19"/>
  <c r="G46" i="19" s="1"/>
  <c r="H46" i="19" s="1"/>
  <c r="E44" i="19"/>
  <c r="E43" i="19"/>
  <c r="D45" i="19"/>
  <c r="G45" i="19" l="1"/>
  <c r="H45" i="19" s="1"/>
  <c r="G44" i="19"/>
  <c r="F47" i="19"/>
  <c r="J45" i="19"/>
  <c r="E45" i="19"/>
  <c r="D46" i="19"/>
  <c r="J46" i="19" s="1"/>
  <c r="G47" i="19" l="1"/>
  <c r="H47" i="19" s="1"/>
  <c r="F48" i="19"/>
  <c r="F49" i="19"/>
  <c r="G49" i="19" s="1"/>
  <c r="H49" i="19" s="1"/>
  <c r="H44" i="19"/>
  <c r="J44" i="19"/>
  <c r="E46" i="19"/>
  <c r="D47" i="19"/>
  <c r="J47" i="19" s="1"/>
  <c r="G48" i="19" l="1"/>
  <c r="F50" i="19"/>
  <c r="G50" i="19" s="1"/>
  <c r="H50" i="19" s="1"/>
  <c r="E47" i="19"/>
  <c r="D48" i="19"/>
  <c r="J48" i="19" s="1"/>
  <c r="D49" i="19"/>
  <c r="J49" i="19" s="1"/>
  <c r="H48" i="19" l="1"/>
  <c r="F51" i="19"/>
  <c r="E49" i="19"/>
  <c r="E48" i="19"/>
  <c r="D50" i="19"/>
  <c r="J50" i="19" s="1"/>
  <c r="G51" i="19" l="1"/>
  <c r="F52" i="19"/>
  <c r="D51" i="19"/>
  <c r="J51" i="19" s="1"/>
  <c r="J52" i="19" s="1"/>
  <c r="E50" i="19"/>
  <c r="H51" i="19" l="1"/>
  <c r="G52" i="19"/>
  <c r="H52" i="19" s="1"/>
  <c r="E51" i="19"/>
  <c r="D52" i="19"/>
  <c r="J53" i="19" s="1"/>
  <c r="J54" i="19" s="1"/>
  <c r="E52" i="19" l="1"/>
  <c r="J2" i="4" l="1"/>
  <c r="K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2" i="4"/>
  <c r="K22" i="4"/>
  <c r="J23" i="4"/>
  <c r="K23" i="4"/>
  <c r="J29" i="4"/>
  <c r="K29" i="4"/>
  <c r="J30" i="4"/>
  <c r="K30" i="4"/>
  <c r="J32" i="4"/>
  <c r="K32" i="4"/>
  <c r="J33" i="4"/>
  <c r="K33" i="4"/>
  <c r="J34" i="4"/>
  <c r="K34" i="4"/>
  <c r="J35" i="4"/>
  <c r="K35" i="4"/>
  <c r="J36" i="4"/>
  <c r="K36" i="4"/>
  <c r="J38" i="4"/>
  <c r="K38" i="4"/>
  <c r="J39" i="4"/>
  <c r="K39" i="4"/>
  <c r="J40" i="4"/>
  <c r="K40" i="4"/>
  <c r="J41" i="4"/>
  <c r="K41" i="4"/>
  <c r="J42" i="4"/>
  <c r="K42" i="4"/>
  <c r="L44" i="4" l="1"/>
  <c r="I44" i="4"/>
  <c r="L43" i="4"/>
  <c r="I43" i="4"/>
  <c r="N42" i="4"/>
  <c r="M42" i="4"/>
  <c r="L42" i="4"/>
  <c r="I42" i="4"/>
  <c r="N41" i="4"/>
  <c r="M41" i="4"/>
  <c r="L41" i="4"/>
  <c r="I41" i="4"/>
  <c r="N40" i="4"/>
  <c r="M40" i="4"/>
  <c r="L40" i="4"/>
  <c r="I40" i="4"/>
  <c r="N39" i="4"/>
  <c r="M39" i="4"/>
  <c r="L39" i="4"/>
  <c r="I39" i="4"/>
  <c r="G39" i="4"/>
  <c r="N38" i="4"/>
  <c r="M38" i="4"/>
  <c r="L38" i="4"/>
  <c r="I38" i="4"/>
  <c r="L37" i="4"/>
  <c r="I37" i="4"/>
  <c r="N36" i="4"/>
  <c r="M36" i="4"/>
  <c r="L36" i="4"/>
  <c r="I36" i="4"/>
  <c r="N35" i="4"/>
  <c r="M35" i="4"/>
  <c r="L35" i="4"/>
  <c r="I35" i="4"/>
  <c r="N34" i="4"/>
  <c r="M34" i="4"/>
  <c r="L34" i="4"/>
  <c r="I34" i="4"/>
  <c r="N33" i="4"/>
  <c r="M33" i="4"/>
  <c r="L33" i="4"/>
  <c r="I33" i="4"/>
  <c r="G33" i="4"/>
  <c r="N32" i="4"/>
  <c r="M32" i="4"/>
  <c r="L32" i="4"/>
  <c r="I32" i="4"/>
  <c r="G32" i="4"/>
  <c r="L31" i="4"/>
  <c r="I31" i="4"/>
  <c r="T30" i="4"/>
  <c r="S30" i="4"/>
  <c r="R30" i="4"/>
  <c r="N30" i="4" s="1"/>
  <c r="L30" i="4"/>
  <c r="I30" i="4"/>
  <c r="T29" i="4"/>
  <c r="S29" i="4"/>
  <c r="R29" i="4"/>
  <c r="I29" i="4"/>
  <c r="G29" i="4"/>
  <c r="T28" i="4"/>
  <c r="S28" i="4"/>
  <c r="R28" i="4"/>
  <c r="G28" i="4"/>
  <c r="T27" i="4"/>
  <c r="S27" i="4"/>
  <c r="R27" i="4"/>
  <c r="G27" i="4"/>
  <c r="Q26" i="4"/>
  <c r="T26" i="4" s="1"/>
  <c r="P26" i="4"/>
  <c r="S26" i="4" s="1"/>
  <c r="O26" i="4"/>
  <c r="G26" i="4"/>
  <c r="T25" i="4"/>
  <c r="S25" i="4"/>
  <c r="R25" i="4"/>
  <c r="T24" i="4"/>
  <c r="S24" i="4"/>
  <c r="R24" i="4"/>
  <c r="I23" i="4"/>
  <c r="G23" i="4"/>
  <c r="T22" i="4"/>
  <c r="S22" i="4"/>
  <c r="R22" i="4"/>
  <c r="I22" i="4"/>
  <c r="G22" i="4"/>
  <c r="L21" i="4"/>
  <c r="I21" i="4"/>
  <c r="G21" i="4"/>
  <c r="T20" i="4"/>
  <c r="S20" i="4"/>
  <c r="R20" i="4"/>
  <c r="N20" i="4" s="1"/>
  <c r="I20" i="4"/>
  <c r="G20" i="4"/>
  <c r="T19" i="4"/>
  <c r="S19" i="4"/>
  <c r="R19" i="4"/>
  <c r="L19" i="4" s="1"/>
  <c r="I19" i="4"/>
  <c r="I18" i="4"/>
  <c r="F18" i="4"/>
  <c r="R18" i="4" s="1"/>
  <c r="T17" i="4"/>
  <c r="S17" i="4"/>
  <c r="R17" i="4"/>
  <c r="I17" i="4"/>
  <c r="T16" i="4"/>
  <c r="S16" i="4"/>
  <c r="R16" i="4"/>
  <c r="I16" i="4"/>
  <c r="T15" i="4"/>
  <c r="S15" i="4"/>
  <c r="R15" i="4"/>
  <c r="I15" i="4"/>
  <c r="G15" i="4"/>
  <c r="T14" i="4"/>
  <c r="S14" i="4"/>
  <c r="R14" i="4"/>
  <c r="N14" i="4" s="1"/>
  <c r="I14" i="4"/>
  <c r="F14" i="4"/>
  <c r="G14" i="4" s="1"/>
  <c r="T13" i="4"/>
  <c r="S13" i="4"/>
  <c r="R13" i="4"/>
  <c r="I13" i="4"/>
  <c r="F13" i="4"/>
  <c r="G13" i="4" s="1"/>
  <c r="T12" i="4"/>
  <c r="S12" i="4"/>
  <c r="R12" i="4"/>
  <c r="I12" i="4"/>
  <c r="G12" i="4"/>
  <c r="T11" i="4"/>
  <c r="S11" i="4"/>
  <c r="R11" i="4"/>
  <c r="M11" i="4" s="1"/>
  <c r="I11" i="4"/>
  <c r="G11" i="4"/>
  <c r="T10" i="4"/>
  <c r="S10" i="4"/>
  <c r="R10" i="4"/>
  <c r="I10" i="4"/>
  <c r="G10" i="4"/>
  <c r="T9" i="4"/>
  <c r="S9" i="4"/>
  <c r="R9" i="4"/>
  <c r="M9" i="4" s="1"/>
  <c r="I9" i="4"/>
  <c r="G9" i="4"/>
  <c r="T8" i="4"/>
  <c r="S8" i="4"/>
  <c r="R8" i="4"/>
  <c r="M8" i="4" s="1"/>
  <c r="I8" i="4"/>
  <c r="F8" i="4"/>
  <c r="G8" i="4" s="1"/>
  <c r="T7" i="4"/>
  <c r="S7" i="4"/>
  <c r="R7" i="4"/>
  <c r="I7" i="4"/>
  <c r="G7" i="4"/>
  <c r="T6" i="4"/>
  <c r="S6" i="4"/>
  <c r="R6" i="4"/>
  <c r="I6" i="4"/>
  <c r="F6" i="4"/>
  <c r="G6" i="4" s="1"/>
  <c r="T5" i="4"/>
  <c r="S5" i="4"/>
  <c r="R5" i="4"/>
  <c r="N5" i="4" s="1"/>
  <c r="I5" i="4"/>
  <c r="G5" i="4"/>
  <c r="T4" i="4"/>
  <c r="S4" i="4"/>
  <c r="R4" i="4"/>
  <c r="I4" i="4"/>
  <c r="G4" i="4"/>
  <c r="T3" i="4"/>
  <c r="S3" i="4"/>
  <c r="R3" i="4"/>
  <c r="I3" i="4"/>
  <c r="G3" i="4"/>
  <c r="T2" i="4"/>
  <c r="S2" i="4"/>
  <c r="R2" i="4"/>
  <c r="I2" i="4"/>
  <c r="G2" i="4"/>
  <c r="F9" i="3"/>
  <c r="I26" i="4" l="1"/>
  <c r="K26" i="4"/>
  <c r="J26" i="4"/>
  <c r="L7" i="4"/>
  <c r="N15" i="4"/>
  <c r="N19" i="4"/>
  <c r="R26" i="4"/>
  <c r="N26" i="4" s="1"/>
  <c r="T18" i="4"/>
  <c r="M19" i="4"/>
  <c r="S18" i="4"/>
  <c r="N18" i="4" s="1"/>
  <c r="N29" i="4"/>
  <c r="N23" i="4"/>
  <c r="L6" i="4"/>
  <c r="M20" i="4"/>
  <c r="M10" i="4"/>
  <c r="M2" i="4"/>
  <c r="N12" i="4"/>
  <c r="N16" i="4"/>
  <c r="M29" i="4"/>
  <c r="N3" i="4"/>
  <c r="N13" i="4"/>
  <c r="L29" i="4"/>
  <c r="N22" i="4"/>
  <c r="N11" i="4"/>
  <c r="M14" i="4"/>
  <c r="N8" i="4"/>
  <c r="M5" i="4"/>
  <c r="N2" i="4"/>
  <c r="M12" i="4"/>
  <c r="N9" i="4"/>
  <c r="M15" i="4"/>
  <c r="M3" i="4"/>
  <c r="N10" i="4"/>
  <c r="L20" i="4"/>
  <c r="N4" i="4"/>
  <c r="M4" i="4"/>
  <c r="M30" i="4"/>
  <c r="N17" i="4"/>
  <c r="M6" i="4"/>
  <c r="M7" i="4"/>
  <c r="L8" i="4"/>
  <c r="L9" i="4"/>
  <c r="L10" i="4"/>
  <c r="L11" i="4"/>
  <c r="L12" i="4"/>
  <c r="L2" i="4"/>
  <c r="L4" i="4"/>
  <c r="N6" i="4"/>
  <c r="N7" i="4"/>
  <c r="L13" i="4"/>
  <c r="L16" i="4"/>
  <c r="L17" i="4"/>
  <c r="M13" i="4"/>
  <c r="L14" i="4"/>
  <c r="L15" i="4"/>
  <c r="M16" i="4"/>
  <c r="M17" i="4"/>
  <c r="L22" i="4"/>
  <c r="L23" i="4"/>
  <c r="M22" i="4"/>
  <c r="M23" i="4"/>
  <c r="L3" i="4"/>
  <c r="L5" i="4"/>
  <c r="M26" i="4" l="1"/>
  <c r="L26" i="4"/>
  <c r="M18" i="4"/>
  <c r="L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tc={B0C649C4-87F1-2342-8FD2-93A852BD7153}</author>
    <author>tc={7C5D4727-9933-3846-90A1-1F69FEBB71A1}</author>
  </authors>
  <commentList>
    <comment ref="N10" authorId="0" shapeId="0" xr:uid="{B0C649C4-87F1-2342-8FD2-93A852BD715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https://edgar.jrc.ec.europa.eu/dataset_ghg2025</t>
      </text>
    </comment>
    <comment ref="O10" authorId="1" shapeId="0" xr:uid="{7C5D4727-9933-3846-90A1-1F69FEBB71A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EDGAR 
https://edgar.jrc.ec.europa.eu/dataset_ghg2024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tc={81372DC6-DF25-164E-B4C6-F91EF82CA5DA}</author>
    <author>tc={5FC29309-1D93-864D-8083-D9FE3A485970}</author>
    <author>tc={2D564C3C-E41A-B445-BBB9-71D99DF8CEB5}</author>
    <author>tc={96B2411E-D005-AB48-8D8F-355E0C569B27}</author>
  </authors>
  <commentList>
    <comment ref="D6" authorId="0" shapeId="0" xr:uid="{81372DC6-DF25-164E-B4C6-F91EF82CA5D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SingStat</t>
      </text>
    </comment>
    <comment ref="D27" authorId="1" shapeId="0" xr:uid="{5FC29309-1D93-864D-8083-D9FE3A48597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weight per egg is 60g</t>
      </text>
    </comment>
    <comment ref="D39" authorId="2" shapeId="0" xr:uid="{2D564C3C-E41A-B445-BBB9-71D99DF8CEB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SingStat</t>
      </text>
    </comment>
    <comment ref="D60" authorId="3" shapeId="0" xr:uid="{96B2411E-D005-AB48-8D8F-355E0C569B2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weight per egg is 60g</t>
      </text>
    </comment>
  </commentList>
</comments>
</file>

<file path=xl/sharedStrings.xml><?xml version="1.0" encoding="utf-8"?>
<sst xmlns="http://schemas.openxmlformats.org/spreadsheetml/2006/main" count="4624" uniqueCount="768">
  <si>
    <t>Contextual elements to calculate present day shares</t>
  </si>
  <si>
    <t>Variable</t>
  </si>
  <si>
    <t>Year</t>
  </si>
  <si>
    <t>Unit</t>
  </si>
  <si>
    <t>Value</t>
  </si>
  <si>
    <t>Source</t>
  </si>
  <si>
    <t>TWh</t>
  </si>
  <si>
    <t>Mt</t>
  </si>
  <si>
    <t>Global households reliant on cookstoves</t>
  </si>
  <si>
    <t>Million</t>
  </si>
  <si>
    <t>Tropical cropland area</t>
  </si>
  <si>
    <t>1991-2020</t>
  </si>
  <si>
    <t>Tropical pasture area</t>
  </si>
  <si>
    <t>Tropical forest area</t>
  </si>
  <si>
    <t>Contextual elements to calculate 2050 shares (scenario independent)</t>
  </si>
  <si>
    <t>kcal/cap/day</t>
  </si>
  <si>
    <t>Contextual elements to calculate 2050 shares from baseline scenarios</t>
  </si>
  <si>
    <t>Values</t>
  </si>
  <si>
    <t>2020-2050</t>
  </si>
  <si>
    <t>Sources</t>
  </si>
  <si>
    <t>Ember, "Yearly Electricity Data" (2025).</t>
  </si>
  <si>
    <t xml:space="preserve">IEA, “Global Hydrogen Review 2024” (2025). </t>
  </si>
  <si>
    <t>Average of Global Calculator reference scenarios for 2020</t>
  </si>
  <si>
    <t>ESMAP, “The State of Access to Modern Energy Cooking Services” (2020).</t>
  </si>
  <si>
    <t>Author's analysis of ESA CCI and NASA MODIS datasets. See Materials and Methods for more details.</t>
  </si>
  <si>
    <t>G. Dreyfus et al., “Assessment of Climate and Development Benefits of Efficient and Climate-Friendly Cooling” (2020).</t>
  </si>
  <si>
    <t>From "Dietary change.xlsx", values for 2018 and 2050</t>
  </si>
  <si>
    <t>From "Food loss and waste.xlsx", values for 2018 and 2050</t>
  </si>
  <si>
    <t>Johnson et al., "Realistic roles for hydrogen in the future energy transition" (2025).</t>
  </si>
  <si>
    <t>IEA, "Global EV Outook 2025", with vehicle stock of 40 million in 2023 adjusted by 14,825km/vehicle/year and occupancy of 1.65.</t>
  </si>
  <si>
    <t>IEA, “Renewables” (2023), with litres of ethanol in 2022 adjusted assuming 5.86 kWh/litre, 0.664 kWh/km and occupancy of 1.65.</t>
  </si>
  <si>
    <t xml:space="preserve">Global Forest Watch, “Global Tree Cover Data Dashboard” (2023). </t>
  </si>
  <si>
    <t>A. Kassam et al., "Global spread of Conservation Agriculture" (2019).</t>
  </si>
  <si>
    <t>J. Leifeld, L. Menichetti, "The underappreciated potential of peatlands in global climate change mitigation strategies" (2018).</t>
  </si>
  <si>
    <t>H. Joosten, “The Global Peatland CO2 Picture” (2010).</t>
  </si>
  <si>
    <t>Notes</t>
  </si>
  <si>
    <t>*</t>
  </si>
  <si>
    <t>Historical value for coal-to-gas fuel-switching is global gas generation</t>
  </si>
  <si>
    <t>Singapore electricity generation</t>
  </si>
  <si>
    <t>EMA</t>
  </si>
  <si>
    <t>Singapore hydrogen demand</t>
  </si>
  <si>
    <t>-</t>
  </si>
  <si>
    <t>Singapore passenger-km travelled by land (domestic only)</t>
  </si>
  <si>
    <t>Billion p-km</t>
  </si>
  <si>
    <t>Singapore passenger-km travelled by air</t>
  </si>
  <si>
    <t>UN Stats</t>
  </si>
  <si>
    <t>https://unstats.un.org/sdgs/dataportal/countryprofiles/sgp</t>
  </si>
  <si>
    <t>Useful energy for space cooling and water heating</t>
  </si>
  <si>
    <t>Singapore is not reliant on cookstoves</t>
  </si>
  <si>
    <t>Steel production</t>
  </si>
  <si>
    <t>Tonnes</t>
  </si>
  <si>
    <t>Statbase</t>
  </si>
  <si>
    <t>https://statbase.org/data/sgp-steel-production/</t>
  </si>
  <si>
    <t xml:space="preserve">Cement production </t>
  </si>
  <si>
    <t>Singapore only imports cement but not produce it</t>
  </si>
  <si>
    <t>Singapore cropland area</t>
  </si>
  <si>
    <t>ha</t>
  </si>
  <si>
    <t>UN FAO</t>
  </si>
  <si>
    <t>Singapore pasture area</t>
  </si>
  <si>
    <t>Singapore has no pasture</t>
  </si>
  <si>
    <t>Singapore forest area</t>
  </si>
  <si>
    <t>https://fra-data.fao.org/assessments/fra/latest/SGP/home/overview</t>
  </si>
  <si>
    <t>Cumulative HFC emissions</t>
  </si>
  <si>
    <r>
      <rPr>
        <sz val="10"/>
        <color theme="1"/>
        <rFont val="Arial"/>
        <family val="2"/>
      </rPr>
      <t>MtCO</t>
    </r>
    <r>
      <rPr>
        <sz val="10"/>
        <color rgb="FF000000"/>
        <rFont val="Arial"/>
        <family val="2"/>
      </rPr>
      <t>2e</t>
    </r>
  </si>
  <si>
    <t>Calories from meat</t>
  </si>
  <si>
    <t>Food loss and waste</t>
  </si>
  <si>
    <t>Kt</t>
  </si>
  <si>
    <t>Average from 2021-2024</t>
  </si>
  <si>
    <t>Hydrogen demand (low)</t>
  </si>
  <si>
    <t>Hydrogen demand (high)</t>
  </si>
  <si>
    <t>Total electricity generation</t>
  </si>
  <si>
    <t>Total passenger-km travelled by land (domestic only)</t>
  </si>
  <si>
    <t>Total passenger-km travelled by air</t>
  </si>
  <si>
    <t>Total useful energy for space and water heating</t>
  </si>
  <si>
    <t>Total demand for steel from all sources</t>
  </si>
  <si>
    <t>Total demand for cement from all sources</t>
  </si>
  <si>
    <t>Total cumulative methane emissions from oil and gas</t>
  </si>
  <si>
    <t>MtCO2e</t>
  </si>
  <si>
    <t>Total GHG emissions from freight</t>
  </si>
  <si>
    <t>#</t>
  </si>
  <si>
    <t>Sector</t>
  </si>
  <si>
    <t>Strategy</t>
  </si>
  <si>
    <t>Strategy Type</t>
  </si>
  <si>
    <t>Current value (2020)</t>
  </si>
  <si>
    <t>Current share</t>
  </si>
  <si>
    <t>Wedge target</t>
  </si>
  <si>
    <t>Wedge target (high)</t>
  </si>
  <si>
    <t>Wedge target (low)</t>
  </si>
  <si>
    <t>Wedge share</t>
  </si>
  <si>
    <t>Wedge share (high)</t>
  </si>
  <si>
    <t>Wedge share (low)</t>
  </si>
  <si>
    <t>Scenario analysis: Wedge target (BAU)</t>
  </si>
  <si>
    <t>Scenario analysis: Wedge target (CPS)</t>
  </si>
  <si>
    <t>Scenario analysis: Wedge target (NZS)</t>
  </si>
  <si>
    <t>Scenario analysis: Wedge share (BAU)</t>
  </si>
  <si>
    <t>Scenario analysis: Wedge share (CPS)</t>
  </si>
  <si>
    <t>Scenario analysis: Wedge share (NZS)</t>
  </si>
  <si>
    <t>Scenario independent: Wedge target (central)</t>
  </si>
  <si>
    <t>Scenario independent: Wedge target (high)</t>
  </si>
  <si>
    <t>Scenario independent: Wedge target (low)</t>
  </si>
  <si>
    <t>Power</t>
  </si>
  <si>
    <t>Power BECCS with crops</t>
  </si>
  <si>
    <t>New</t>
  </si>
  <si>
    <t>TWh (output)</t>
  </si>
  <si>
    <t>Negligible</t>
  </si>
  <si>
    <t>––</t>
  </si>
  <si>
    <t>Power BECCS with waste</t>
  </si>
  <si>
    <t>Retrofit coal plants with CCS</t>
  </si>
  <si>
    <t>Reduction</t>
  </si>
  <si>
    <t>Install more wind farms</t>
  </si>
  <si>
    <t>Install more solar panels</t>
  </si>
  <si>
    <t>Efficiency</t>
  </si>
  <si>
    <t>Install more nuclear reactors</t>
  </si>
  <si>
    <t>Switch from coal to gas plants</t>
  </si>
  <si>
    <t>Displacement</t>
  </si>
  <si>
    <t>TWh (output)*</t>
  </si>
  <si>
    <t>Retrofit gas plants with CCS</t>
  </si>
  <si>
    <t>Tap on tidal energy</t>
  </si>
  <si>
    <t>Tap on geothermal</t>
  </si>
  <si>
    <t>Transport</t>
  </si>
  <si>
    <t>Avoid car travel or walk/cycle</t>
  </si>
  <si>
    <t>Reduction/Efficiency</t>
  </si>
  <si>
    <t>LTA</t>
  </si>
  <si>
    <t>Deploy more electric vehicles</t>
  </si>
  <si>
    <t>Deploy more biofuels</t>
  </si>
  <si>
    <t>Use more public transport</t>
  </si>
  <si>
    <t>Displacement/Reduction</t>
  </si>
  <si>
    <t>Decarbonise surface freight</t>
  </si>
  <si>
    <t>Avoid taking flights</t>
  </si>
  <si>
    <t>ICAO</t>
  </si>
  <si>
    <t>Improve efficiency of cars</t>
  </si>
  <si>
    <t>l/100km</t>
  </si>
  <si>
    <t>Buildings</t>
  </si>
  <si>
    <t>Reduce building heat transfer</t>
  </si>
  <si>
    <t>Install more heat pumps</t>
  </si>
  <si>
    <t>TWh (heat output)</t>
  </si>
  <si>
    <t>Deploy more clean stoves</t>
  </si>
  <si>
    <t>Displacement/Reduction/Efficiency</t>
  </si>
  <si>
    <t>Millions</t>
  </si>
  <si>
    <t>Industry</t>
  </si>
  <si>
    <t>Deploy direct air capture</t>
  </si>
  <si>
    <t>TWh (input)</t>
  </si>
  <si>
    <t>Produce clean hydrogen</t>
  </si>
  <si>
    <t>… low demand for hydrogen</t>
  </si>
  <si>
    <t>… high demand for hydrogen</t>
  </si>
  <si>
    <t>Decarbonise steelmaking</t>
  </si>
  <si>
    <t>Gt (output)</t>
  </si>
  <si>
    <t>… with hydrogen-DRI</t>
  </si>
  <si>
    <t>… with CCS</t>
  </si>
  <si>
    <t>Decarbonise cement production</t>
  </si>
  <si>
    <t>Reduce methane from oil and gas</t>
  </si>
  <si>
    <t>Reduce refrigerant pollution</t>
  </si>
  <si>
    <t>Land use</t>
  </si>
  <si>
    <t>Reforest the tropics</t>
  </si>
  <si>
    <t>Reforest the temperate zone</t>
  </si>
  <si>
    <t xml:space="preserve">Add trees to tropical pasture </t>
  </si>
  <si>
    <t>Add trees to temperate pasture</t>
  </si>
  <si>
    <t>Add trees to tropical cropland</t>
  </si>
  <si>
    <t>Enhance weathering in cropland</t>
  </si>
  <si>
    <t>Add trees to temperate cropland</t>
  </si>
  <si>
    <t>Manage soil carbon</t>
  </si>
  <si>
    <t>Prevent tropical forest loss</t>
  </si>
  <si>
    <t>ha/year</t>
  </si>
  <si>
    <t>Global Forest Watch</t>
  </si>
  <si>
    <t>Rewet drained peatlands</t>
  </si>
  <si>
    <t>...and phase-out drainage</t>
  </si>
  <si>
    <t>Food</t>
  </si>
  <si>
    <t>Reduce meat consumption</t>
  </si>
  <si>
    <t>kcal/capita/day</t>
  </si>
  <si>
    <t>SFA</t>
  </si>
  <si>
    <t>Prevent food loss and waste</t>
  </si>
  <si>
    <t>kt</t>
  </si>
  <si>
    <t>NEA</t>
  </si>
  <si>
    <t>Source: IEA</t>
  </si>
  <si>
    <r>
      <t>MtCO</t>
    </r>
    <r>
      <rPr>
        <sz val="9"/>
        <color rgb="FF000000"/>
        <rFont val="Calibri"/>
        <family val="2"/>
        <scheme val="minor"/>
      </rPr>
      <t>2e</t>
    </r>
  </si>
  <si>
    <r>
      <t>W/m</t>
    </r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*K</t>
    </r>
  </si>
  <si>
    <r>
      <t>MtCO</t>
    </r>
    <r>
      <rPr>
        <sz val="9"/>
        <color rgb="FF000000"/>
        <rFont val="Calibri"/>
        <family val="2"/>
        <scheme val="minor"/>
      </rPr>
      <t>2e (cum.)</t>
    </r>
  </si>
  <si>
    <t>Projected</t>
  </si>
  <si>
    <t>Singapore does not rely on domestic flights for intra-city transport</t>
  </si>
  <si>
    <t>EF</t>
  </si>
  <si>
    <t>Marine</t>
  </si>
  <si>
    <t>Fish &amp; Seafood</t>
  </si>
  <si>
    <t>Meat</t>
  </si>
  <si>
    <t>Bovine</t>
  </si>
  <si>
    <t>Mutton &amp; Goat</t>
  </si>
  <si>
    <t>Pig</t>
  </si>
  <si>
    <t>Poultry</t>
  </si>
  <si>
    <t>Milk &amp; Eggs</t>
  </si>
  <si>
    <t>Eggs</t>
  </si>
  <si>
    <t>Milk</t>
  </si>
  <si>
    <t>Oil crops &amp; Pulses</t>
  </si>
  <si>
    <t>Oil crops</t>
  </si>
  <si>
    <t>Pulses</t>
  </si>
  <si>
    <t>Roots &amp; Tubers</t>
  </si>
  <si>
    <t>Starchy Roots</t>
  </si>
  <si>
    <t>Cereals</t>
  </si>
  <si>
    <t>Barley</t>
  </si>
  <si>
    <t>Maize</t>
  </si>
  <si>
    <t>Millet</t>
  </si>
  <si>
    <t>Oats</t>
  </si>
  <si>
    <t>Rice</t>
  </si>
  <si>
    <t>Rye</t>
  </si>
  <si>
    <t>Sorghum</t>
  </si>
  <si>
    <t>Wheat</t>
  </si>
  <si>
    <t>Other Cereals</t>
  </si>
  <si>
    <t>Fruit &amp; Vegetables</t>
  </si>
  <si>
    <t>Apples</t>
  </si>
  <si>
    <t>Bananas</t>
  </si>
  <si>
    <t>Citrus</t>
  </si>
  <si>
    <t>Grapes</t>
  </si>
  <si>
    <t>Other Fruit</t>
  </si>
  <si>
    <t>Vegetables</t>
  </si>
  <si>
    <t>Other cereals</t>
  </si>
  <si>
    <t>Fruits &amp; Vegetables</t>
  </si>
  <si>
    <t>Other fruits</t>
  </si>
  <si>
    <t>Bovine meat</t>
  </si>
  <si>
    <t>Pigmeat</t>
  </si>
  <si>
    <t>Commodity group</t>
  </si>
  <si>
    <t>Commodity</t>
  </si>
  <si>
    <t>FSC1 Emissions (Mt)</t>
  </si>
  <si>
    <t>FSC2 Emissions (Mt)</t>
  </si>
  <si>
    <t>FSC3 Emissions (Mt)</t>
  </si>
  <si>
    <t>FSC4 Emissions (Mt)</t>
  </si>
  <si>
    <t>FSC5 Emissions (Mt)</t>
  </si>
  <si>
    <t>Total Emissions (Mt)</t>
  </si>
  <si>
    <t>Average</t>
  </si>
  <si>
    <t>FSC1</t>
  </si>
  <si>
    <t>FSC2</t>
  </si>
  <si>
    <t>FSC3</t>
  </si>
  <si>
    <t>FSC4</t>
  </si>
  <si>
    <t>Activity Name</t>
  </si>
  <si>
    <t>Scenario</t>
  </si>
  <si>
    <t>kg</t>
  </si>
  <si>
    <t>EF (kg CO2-eq per unit)</t>
  </si>
  <si>
    <t>Emissions</t>
  </si>
  <si>
    <t>FSC5</t>
  </si>
  <si>
    <t>South and Southeast Asia</t>
  </si>
  <si>
    <t>Gas supply (TWh)</t>
  </si>
  <si>
    <t>Oil supply (TWh)</t>
  </si>
  <si>
    <t>CH4 intensity (t/TWh)</t>
  </si>
  <si>
    <t>Cumulative 2020-2050</t>
  </si>
  <si>
    <t>Upstream fugitive CH4 EF (kg CH4/kwh)</t>
  </si>
  <si>
    <t>Gas supply (TJ)</t>
  </si>
  <si>
    <t>Total national CH4 emissions (1000 tonnes)</t>
  </si>
  <si>
    <t>Methane emissions from oil and gas</t>
  </si>
  <si>
    <t>Sub-Category</t>
  </si>
  <si>
    <t>Refrigerants</t>
  </si>
  <si>
    <t>R-508B (46% HFC-23; 54% PFC-116)</t>
  </si>
  <si>
    <t>Hydrofluorocarbons (Hfcs)</t>
  </si>
  <si>
    <t>HFC-1234yf (CF3CF=CH2)</t>
  </si>
  <si>
    <t>R-508A (39% HFC-23; 61% PFC-116)</t>
  </si>
  <si>
    <t>R-402A (60% HFC125)</t>
  </si>
  <si>
    <t>HFC-43-10mee (CF3CHFCHFCF2CF3)</t>
  </si>
  <si>
    <t>HFC-245cb (CF3CF2CH3)</t>
  </si>
  <si>
    <t>R-442A (31% HFC-32; 31% HFC-125; 30% HFC-134a; 3% HFC-152a; 5% HFC-227ea)</t>
  </si>
  <si>
    <t>(E)-HFC-1225ye (CF3CF=CHF(E))</t>
  </si>
  <si>
    <t>R-448A (26% HFC-32; 26% HFC-125; 21% HFC-134a; 20% HFC-1234yf; 7% (E)-HFC-1234ze)</t>
  </si>
  <si>
    <t>(Z)-HFC-1234ze (CF3CH=CHF(Z))</t>
  </si>
  <si>
    <t>HFC-245fa (CHF2CH2CF3)</t>
  </si>
  <si>
    <t>R-422B (55% HFC-125; 42% HFC-134a)</t>
  </si>
  <si>
    <t>HFC-134 (CHF2CHF2)</t>
  </si>
  <si>
    <t>HFC-227ea (CF3CHFCF3)</t>
  </si>
  <si>
    <t>HFC-152 (CH2FCH2F)</t>
  </si>
  <si>
    <t>R-413A (9% PFC-218; 88% HFC-134a)</t>
  </si>
  <si>
    <t>HFC-32 (CH2F2)</t>
  </si>
  <si>
    <t>R-419A (77% HFC-125; 19% HFC-134a)</t>
  </si>
  <si>
    <t>R-407B (10% HFC-32; 70% HFC-125; 20% HFC-134a)</t>
  </si>
  <si>
    <t>R-422D (65.1% HFC-125; 31.5% HFC-134a)</t>
  </si>
  <si>
    <t>R-407E (25% HFC-32; 15% HFC-125; 60% HFC-134a)</t>
  </si>
  <si>
    <t>R-415B (75% HFC-152a)</t>
  </si>
  <si>
    <t>HFC-143 (CH2FCHF2)</t>
  </si>
  <si>
    <t>(Z)-HFC-1225ye (CF3CF=CHF(Z))</t>
  </si>
  <si>
    <t>R-438A (8.5% HFC-32; 45% HFC-125; 44.2% HFC-134a)</t>
  </si>
  <si>
    <t>R-410B (45% HFC-32; 55% HFC-125)</t>
  </si>
  <si>
    <t>HFC-245ca (CH2FCF2CHF2)</t>
  </si>
  <si>
    <t>R-503 (40.1% HFC-23)</t>
  </si>
  <si>
    <t>R-422C (82% HFC-125; 15% HFC-134a)</t>
  </si>
  <si>
    <t>HFC-134a (CH2FCF3)</t>
  </si>
  <si>
    <t>(Z)-HFC-1336 (CF3CH=CHCF3(Z))</t>
  </si>
  <si>
    <t>HFC-236ea (CHF2CHFCF3)</t>
  </si>
  <si>
    <t>HFC-263fb (CH3CH2CF3)</t>
  </si>
  <si>
    <t>HFC-152a (CH3CHF2)</t>
  </si>
  <si>
    <t>R-407A (20% HFC-32; 40% HFC-125; 40% HFC-134a)</t>
  </si>
  <si>
    <t>R-418A (2.5% HFC-152a)</t>
  </si>
  <si>
    <t>R-408A (7%  HFC-125; 46% HFC-143a)</t>
  </si>
  <si>
    <t>HFC-41 (CH3F)</t>
  </si>
  <si>
    <t>R-452A (11% HFC-32; 59% HFC-125; 30% HFC-1234yf)</t>
  </si>
  <si>
    <t>HFC-365mfc (CH3CF2CH2CF3)</t>
  </si>
  <si>
    <t>R-401B (11% HFC-152a)</t>
  </si>
  <si>
    <t>HFC-227ca (CF3CF2CHF2)</t>
  </si>
  <si>
    <t>R-500 (26.2% HFC-152a)</t>
  </si>
  <si>
    <t>HFC-245eb (CH2FCHFCF3)</t>
  </si>
  <si>
    <t>R-420A (88% HFC-134a)</t>
  </si>
  <si>
    <t>HFC-1243zf (CF3CH=CH2)</t>
  </si>
  <si>
    <t>HFC-272ca (CH3CF2CH3)</t>
  </si>
  <si>
    <t>HFC-1141 (CH2=CHF)</t>
  </si>
  <si>
    <t>R-411C (1.5% HFC-152a)</t>
  </si>
  <si>
    <t>R-407D (15% HFC-32; 15% HFC-125; 70% HFC-134a)</t>
  </si>
  <si>
    <t>R-421A (58% HFC-125; 42% HFC-134a)</t>
  </si>
  <si>
    <t>HFC-329p (CHF2CF2CF2CF3)</t>
  </si>
  <si>
    <t>R-427A (15% HFC-32; 25% HFC-125; 10% HFC-143a; 50% HFC-134a)</t>
  </si>
  <si>
    <t>R-416A (59% HFC-134a)</t>
  </si>
  <si>
    <t>R-410A (50% HFC-32; 50% HFC-125)</t>
  </si>
  <si>
    <t>HFC-125 (CHF2CF3)</t>
  </si>
  <si>
    <t>R-415A (18% HFC-152a)</t>
  </si>
  <si>
    <t>R-404A (44% HFC-125; 52% HFC -143a; 4% HFC-134a)</t>
  </si>
  <si>
    <t>R-421B (85% HFC-125; 15% HFC-134a)</t>
  </si>
  <si>
    <t>R-449A (24.3% HFC-32; 24.7% HFC-125; 25.7% HFC-134a; 25.3% HFC-1234yf)</t>
  </si>
  <si>
    <t>HFC-143a (CH3CF3)</t>
  </si>
  <si>
    <t>R-417A (46.6% HFC-125; 50% HFC-134a)</t>
  </si>
  <si>
    <t>R-407C (23% HFC-32; 25% HFC-125; 52% HFC-134a)</t>
  </si>
  <si>
    <t>HFC-1345zfc (C2F5CH=CH2)</t>
  </si>
  <si>
    <t>HFC-1132a (CH2=CF2)</t>
  </si>
  <si>
    <t>HFC-245ea (CHF2CHFCHF2)</t>
  </si>
  <si>
    <t>R-411B (3% HFC-152a)</t>
  </si>
  <si>
    <t>HFC-23 (CHF3)</t>
  </si>
  <si>
    <t>R-411A (11% HFC-152a)</t>
  </si>
  <si>
    <t>R-401A (13% HFC-152a)</t>
  </si>
  <si>
    <t>(E)-HFC-1234ze (trans-CF3CH=CHF)</t>
  </si>
  <si>
    <t>R-401C (15% HFC-152a)</t>
  </si>
  <si>
    <t>R-422A (85.1% HFC-125; 11.5% HFC-134a)</t>
  </si>
  <si>
    <t>R-405A (7% HFC-152a; 42.5% PFC-318)</t>
  </si>
  <si>
    <t>HFC-236cb (CH2FCF2CF3)</t>
  </si>
  <si>
    <t>R-402B (38% HFC125)</t>
  </si>
  <si>
    <t>HFC-236fa (CF3CH2CF3)</t>
  </si>
  <si>
    <t>R-507A  (50% HFC-125; 50% HFC-143a)</t>
  </si>
  <si>
    <t>R-407F  (30% HFC-32; 30% HFC-125 40% HFC-134a)</t>
  </si>
  <si>
    <t>HFC-161 (CH3CH2F)</t>
  </si>
  <si>
    <t>R-504 (48.2% HFC-32)</t>
  </si>
  <si>
    <t>Source: Singapore Emissions Factor Registry</t>
  </si>
  <si>
    <t>1. Calculate Residual Emissions (During Use)</t>
  </si>
  <si>
    <t>Residual emissions are the ongoing, steady-state leakages that occur throughout the operational lifespan of refrigeration or air conditioning (RAC) equipment. [1, 2, 3, 4]</t>
  </si>
  <si>
    <t>The primary formula for bottom-up estimation is:</t>
  </si>
  <si>
    <t>Annual Leakage Rate: The percentage of the charge that leaks per year. [1]</t>
  </si>
  <si>
    <t>2. Calculate End-of-Life (EOL) Emissions</t>
  </si>
  <si>
    <t>End-of-life emissions represent the release of the remaining refrigerant when equipment is decommissioned or disposed of. [1, 2, 3, 4]</t>
  </si>
  <si>
    <t>The calculation follows this formula :</t>
  </si>
  <si>
    <t>3. Convert to CO₂e</t>
  </si>
  <si>
    <t>To report or track your carbon footprint, physical gas losses must be converted into metric tonnes of CO₂ equivalent :</t>
  </si>
  <si>
    <t>Total Charge: The total mass of the HFC inside the equipment.</t>
  </si>
  <si>
    <t>Residual Charge %: The percentage of the total charge remaining in the system at the time of disposal.</t>
  </si>
  <si>
    <t>Recovery Efficiency: The fraction of the residual HFC that is actually captured and recovered (ranges from 0 to 1) . Any captured gas that is recycled or reclaimed does not count as an emission into the atmosphere. [1, 2, 3, 4, 5]</t>
  </si>
  <si>
    <t>EOL emissions = Initial charge x residual charge % x (1 - Recovery efficiency)</t>
  </si>
  <si>
    <t>Annual emissions = Total charge x annual leakage rage</t>
  </si>
  <si>
    <t>Emissions (CO2e) = mass of HFC emitted (tonnes) x GWP</t>
  </si>
  <si>
    <t>Singapore does not produce HFC, so this will be focused on consumption only.</t>
  </si>
  <si>
    <t>Source: GHG Protocol HFC Tool v1.0</t>
  </si>
  <si>
    <t>CH4 emissions from Power sector (Mt CO2e)</t>
  </si>
  <si>
    <t>CH4 emissions from oil and gas (1000 tonnes)</t>
  </si>
  <si>
    <t>Upstream fugitive CH4 EF (t/TWh)</t>
  </si>
  <si>
    <t>Historical data</t>
  </si>
  <si>
    <t>UN energy-balance methodology defines supply as a balance of production + imports - exports - bunkers ± stock changes</t>
  </si>
  <si>
    <t>Gas supply (TJ): total natural gas supply as reported in EMA’s Natural Gas Balance, which is already in supply-balance form.</t>
  </si>
  <si>
    <t>year</t>
  </si>
  <si>
    <t>Total oil supply (TJ)</t>
  </si>
  <si>
    <t>Oil supply (TJ)</t>
  </si>
  <si>
    <t>Source: EMA (Singapore Energy Statistics)</t>
  </si>
  <si>
    <t>Source: Singapore National Inventory Document (NID) 2024</t>
  </si>
  <si>
    <t>CO2 emissions from oil (MtCO2e)</t>
  </si>
  <si>
    <t>CH4 emissions from oil</t>
  </si>
  <si>
    <t>Upstream fugitive CH4 emissions from oil and gas (1000 tonnes)</t>
  </si>
  <si>
    <t>CH4 emissions from oil (tonnes)</t>
  </si>
  <si>
    <t>CH4 emissions from gas (tonnes)</t>
  </si>
  <si>
    <t>Computed/forecasted data</t>
  </si>
  <si>
    <t>Electric</t>
  </si>
  <si>
    <t>Petrol</t>
  </si>
  <si>
    <t>Diesel</t>
  </si>
  <si>
    <t>Petrol-Electric</t>
  </si>
  <si>
    <t>Petrol-Electric (Plug-In)</t>
  </si>
  <si>
    <t>Petrol-CNG</t>
  </si>
  <si>
    <t>Diesel-Electric</t>
  </si>
  <si>
    <t>Diesel-Electric (Plug-In)</t>
  </si>
  <si>
    <t>Total CH4 emissions from oil and gas (tonnes)</t>
  </si>
  <si>
    <t>CH4 emissions intensity (t/TWh)</t>
  </si>
  <si>
    <t>Total oil and gas supply (TWh)</t>
  </si>
  <si>
    <t>Total CH4 emissions</t>
  </si>
  <si>
    <t>make</t>
  </si>
  <si>
    <t>fuel_type</t>
  </si>
  <si>
    <t>number</t>
  </si>
  <si>
    <t>ALFA ROMEO</t>
  </si>
  <si>
    <t>ASTON MARTIN</t>
  </si>
  <si>
    <t>AUDI</t>
  </si>
  <si>
    <t>AUSTIN</t>
  </si>
  <si>
    <t>B.M.W.</t>
  </si>
  <si>
    <t>BENTLEY</t>
  </si>
  <si>
    <t>CADILLAC</t>
  </si>
  <si>
    <t>CHEVROLET</t>
  </si>
  <si>
    <t>CHRYSLER</t>
  </si>
  <si>
    <t>CITROEN</t>
  </si>
  <si>
    <t>DAEWOO</t>
  </si>
  <si>
    <t>DAIHATSU</t>
  </si>
  <si>
    <t>DAIMLER</t>
  </si>
  <si>
    <t>DATSUN</t>
  </si>
  <si>
    <t>FERRARI</t>
  </si>
  <si>
    <t>FIAT</t>
  </si>
  <si>
    <t>FORD</t>
  </si>
  <si>
    <t>HOLDEN</t>
  </si>
  <si>
    <t>HONDA</t>
  </si>
  <si>
    <t>HYUNDAI</t>
  </si>
  <si>
    <t>ISUZU</t>
  </si>
  <si>
    <t>JAGUAR</t>
  </si>
  <si>
    <t>JEEP</t>
  </si>
  <si>
    <t>KIA</t>
  </si>
  <si>
    <t>LAMBORGHINI</t>
  </si>
  <si>
    <t>LANCIA</t>
  </si>
  <si>
    <t>LAND ROVER</t>
  </si>
  <si>
    <t>LOTUS</t>
  </si>
  <si>
    <t>M.G.</t>
  </si>
  <si>
    <t>MASERATI</t>
  </si>
  <si>
    <t>MAZDA</t>
  </si>
  <si>
    <t>MERCEDES BENZ</t>
  </si>
  <si>
    <t>MG-F</t>
  </si>
  <si>
    <t>MINI</t>
  </si>
  <si>
    <t>MINI MAYFAIR</t>
  </si>
  <si>
    <t>MITSUBISHI</t>
  </si>
  <si>
    <t>MORGAN</t>
  </si>
  <si>
    <t>MORRIS</t>
  </si>
  <si>
    <t>NISSAN</t>
  </si>
  <si>
    <t>OPEL</t>
  </si>
  <si>
    <t>OTHERS 2</t>
  </si>
  <si>
    <t>PANTHER</t>
  </si>
  <si>
    <t>PERODUA</t>
  </si>
  <si>
    <t>PEUGEOT</t>
  </si>
  <si>
    <t>PORSCHE</t>
  </si>
  <si>
    <t>PROTON</t>
  </si>
  <si>
    <t>RENAULT</t>
  </si>
  <si>
    <t>ROLLS ROYCE</t>
  </si>
  <si>
    <t>ROVER</t>
  </si>
  <si>
    <t>SAAB</t>
  </si>
  <si>
    <t>SEAT</t>
  </si>
  <si>
    <t>SKODA</t>
  </si>
  <si>
    <t>SSANGYONG</t>
  </si>
  <si>
    <t>SUBARU</t>
  </si>
  <si>
    <t>SUNBEAM</t>
  </si>
  <si>
    <t>SUZUKI</t>
  </si>
  <si>
    <t>TOYOTA</t>
  </si>
  <si>
    <t>TRIUMPH</t>
  </si>
  <si>
    <t>VOLKSWAGEN</t>
  </si>
  <si>
    <t>VOLVO</t>
  </si>
  <si>
    <t>CHERY</t>
  </si>
  <si>
    <t>DODGE</t>
  </si>
  <si>
    <t>GEELY</t>
  </si>
  <si>
    <t>TD CARS</t>
  </si>
  <si>
    <t>DONGFENG</t>
  </si>
  <si>
    <t>HAFEI</t>
  </si>
  <si>
    <t>MITSUOKA</t>
  </si>
  <si>
    <t>CHANA</t>
  </si>
  <si>
    <t>GOLDEN DRAGON</t>
  </si>
  <si>
    <t>NAZA</t>
  </si>
  <si>
    <t>WULING</t>
  </si>
  <si>
    <t>ZOTYE</t>
  </si>
  <si>
    <t>HUMMER</t>
  </si>
  <si>
    <t>FOTON</t>
  </si>
  <si>
    <t>INFINITI</t>
  </si>
  <si>
    <t>MAYBACH</t>
  </si>
  <si>
    <t>Mclaren</t>
  </si>
  <si>
    <t>ALPINA</t>
  </si>
  <si>
    <t>SINGER</t>
  </si>
  <si>
    <t>BYD</t>
  </si>
  <si>
    <t>OTHERS</t>
  </si>
  <si>
    <t>BLUECAR</t>
  </si>
  <si>
    <t>MAXUS</t>
  </si>
  <si>
    <t>SMART</t>
  </si>
  <si>
    <t>TESLA</t>
  </si>
  <si>
    <t>ALPINE</t>
  </si>
  <si>
    <t>RUF</t>
  </si>
  <si>
    <t>POLESTAR</t>
  </si>
  <si>
    <t>ALVIS</t>
  </si>
  <si>
    <t>ARMSTRONG SIDDELEY</t>
  </si>
  <si>
    <t>B.M.A.</t>
  </si>
  <si>
    <t>B.S.A.</t>
  </si>
  <si>
    <t>BERTONE</t>
  </si>
  <si>
    <t>BINZ</t>
  </si>
  <si>
    <t>BUICK</t>
  </si>
  <si>
    <t>CATERHAM</t>
  </si>
  <si>
    <t>CHALMERS</t>
  </si>
  <si>
    <t>DE-LOREAN</t>
  </si>
  <si>
    <t>ESSEX</t>
  </si>
  <si>
    <t>FRAZER</t>
  </si>
  <si>
    <t>HILLMAN</t>
  </si>
  <si>
    <t>INTERNATIONAL</t>
  </si>
  <si>
    <t>JENSEN</t>
  </si>
  <si>
    <t>KOENIGSEGG</t>
  </si>
  <si>
    <t>LAGONDA</t>
  </si>
  <si>
    <t>LEA - FRANCIS</t>
  </si>
  <si>
    <t>LEYLAND</t>
  </si>
  <si>
    <t>LINCOLN</t>
  </si>
  <si>
    <t>MARCOS</t>
  </si>
  <si>
    <t>MAXWELL</t>
  </si>
  <si>
    <t>MERCURY</t>
  </si>
  <si>
    <t>MINI MOTOR</t>
  </si>
  <si>
    <t>NOBLE</t>
  </si>
  <si>
    <t>PAGANI</t>
  </si>
  <si>
    <t>PONTIAC</t>
  </si>
  <si>
    <t>RAMBLER</t>
  </si>
  <si>
    <t>RANGE ROVER</t>
  </si>
  <si>
    <t>RILEY</t>
  </si>
  <si>
    <t>RUGBY</t>
  </si>
  <si>
    <t>STANDARD</t>
  </si>
  <si>
    <t>STUTZ</t>
  </si>
  <si>
    <t>SWIFT</t>
  </si>
  <si>
    <t>TALBOT</t>
  </si>
  <si>
    <t>THE LONDON TAXI CO</t>
  </si>
  <si>
    <t>V.W. PROSHE</t>
  </si>
  <si>
    <t>VALIANT</t>
  </si>
  <si>
    <t>VELOREX</t>
  </si>
  <si>
    <t>WOLSELEY</t>
  </si>
  <si>
    <t>GREAT WALL</t>
  </si>
  <si>
    <t>ITALDESIGN-GIUGIARO SPA</t>
  </si>
  <si>
    <t>GAC</t>
  </si>
  <si>
    <t>MCLAREN</t>
  </si>
  <si>
    <t>NETA</t>
  </si>
  <si>
    <t>SERES</t>
  </si>
  <si>
    <t>XPENG</t>
  </si>
  <si>
    <t>ZEEKR</t>
  </si>
  <si>
    <t>Food Loss &amp; Waste</t>
  </si>
  <si>
    <t>Region</t>
  </si>
  <si>
    <t>SSEA</t>
  </si>
  <si>
    <t>FSC1 LF</t>
  </si>
  <si>
    <t>FSC2 LF</t>
  </si>
  <si>
    <t>FSC3 LF</t>
  </si>
  <si>
    <t>FSC4 LF</t>
  </si>
  <si>
    <t>FSC5 LF</t>
  </si>
  <si>
    <t>Baseline</t>
  </si>
  <si>
    <t>N/A</t>
  </si>
  <si>
    <t>Loss Factors</t>
  </si>
  <si>
    <t>Import quantity</t>
  </si>
  <si>
    <t>Stock variation</t>
  </si>
  <si>
    <t>Export quantity</t>
  </si>
  <si>
    <t>Domestic Supply Quantity</t>
  </si>
  <si>
    <t>Feed</t>
  </si>
  <si>
    <t>Seed</t>
  </si>
  <si>
    <t>Other Uses (Non-food)</t>
  </si>
  <si>
    <t>AF</t>
  </si>
  <si>
    <t>FSC1 ID</t>
  </si>
  <si>
    <t>FSC2 ID</t>
  </si>
  <si>
    <t>FSC3 ID</t>
  </si>
  <si>
    <t>FSC4 ID</t>
  </si>
  <si>
    <t>FSC5 ID</t>
  </si>
  <si>
    <t>Food Supply Chain</t>
  </si>
  <si>
    <t>FSC1 FLW</t>
  </si>
  <si>
    <t>FSC2 FLW</t>
  </si>
  <si>
    <t>FSC3 FLW</t>
  </si>
  <si>
    <t>FSC4 FLW</t>
  </si>
  <si>
    <t>FSC5 FLW</t>
  </si>
  <si>
    <t>Total (1000 tonnes)</t>
  </si>
  <si>
    <t>FSC1 FLW (Mt)</t>
  </si>
  <si>
    <t>FSC2 FLW (Mt)</t>
  </si>
  <si>
    <t>FSC3 FLW (Mt)</t>
  </si>
  <si>
    <t>FSC4 FLW (Mt)</t>
  </si>
  <si>
    <t>FSC5 FLW (Mt)</t>
  </si>
  <si>
    <t>Total (Mt)</t>
  </si>
  <si>
    <t>2050 Baseline 2</t>
  </si>
  <si>
    <t>2026May</t>
  </si>
  <si>
    <t>2026Apr</t>
  </si>
  <si>
    <t>2026Mar</t>
  </si>
  <si>
    <t>2026Feb</t>
  </si>
  <si>
    <t>2026Jan</t>
  </si>
  <si>
    <t>2025Dec</t>
  </si>
  <si>
    <t>2025Nov</t>
  </si>
  <si>
    <t>2025Oct</t>
  </si>
  <si>
    <t>2025Sep</t>
  </si>
  <si>
    <t>2025Aug</t>
  </si>
  <si>
    <t>2025Jul</t>
  </si>
  <si>
    <t>2025Jun</t>
  </si>
  <si>
    <t>2025May</t>
  </si>
  <si>
    <t>2025Apr</t>
  </si>
  <si>
    <t>2025Mar</t>
  </si>
  <si>
    <t>2025Feb</t>
  </si>
  <si>
    <t>2025Jan</t>
  </si>
  <si>
    <t>2024Dec</t>
  </si>
  <si>
    <t>2024Nov</t>
  </si>
  <si>
    <t>2024Oct</t>
  </si>
  <si>
    <t>2024Sep</t>
  </si>
  <si>
    <t>2024Aug</t>
  </si>
  <si>
    <t>2024Jul</t>
  </si>
  <si>
    <t>2024Jun</t>
  </si>
  <si>
    <t>2024May</t>
  </si>
  <si>
    <t>2024Apr</t>
  </si>
  <si>
    <t>2024Mar</t>
  </si>
  <si>
    <t>2024Feb</t>
  </si>
  <si>
    <t>2024Jan</t>
  </si>
  <si>
    <t>2023Dec</t>
  </si>
  <si>
    <t>2023Nov</t>
  </si>
  <si>
    <t>2023Oct</t>
  </si>
  <si>
    <t>2023Sep</t>
  </si>
  <si>
    <t>2023Aug</t>
  </si>
  <si>
    <t>2023Jul</t>
  </si>
  <si>
    <t>2023Jun</t>
  </si>
  <si>
    <t>2023May</t>
  </si>
  <si>
    <t>2023Apr</t>
  </si>
  <si>
    <t>2023Mar</t>
  </si>
  <si>
    <t>2023Feb</t>
  </si>
  <si>
    <t>2023Jan</t>
  </si>
  <si>
    <t>2022Dec</t>
  </si>
  <si>
    <t>2022Nov</t>
  </si>
  <si>
    <t>2022Oct</t>
  </si>
  <si>
    <t>2022Sep</t>
  </si>
  <si>
    <t>2022Aug</t>
  </si>
  <si>
    <t>2022Jul</t>
  </si>
  <si>
    <t>2022Jun</t>
  </si>
  <si>
    <t>2022May</t>
  </si>
  <si>
    <t>2022Apr</t>
  </si>
  <si>
    <t>2022Mar</t>
  </si>
  <si>
    <t>2022Feb</t>
  </si>
  <si>
    <t>2022Jan</t>
  </si>
  <si>
    <t>2021Dec</t>
  </si>
  <si>
    <t>2021Nov</t>
  </si>
  <si>
    <t>2021Oct</t>
  </si>
  <si>
    <t>2021Sep</t>
  </si>
  <si>
    <t>2021Aug</t>
  </si>
  <si>
    <t>2021Jul</t>
  </si>
  <si>
    <t>2021Jun</t>
  </si>
  <si>
    <t>2021May</t>
  </si>
  <si>
    <t>2021Apr</t>
  </si>
  <si>
    <t>2021Mar</t>
  </si>
  <si>
    <t>2021Feb</t>
  </si>
  <si>
    <t>2021Jan</t>
  </si>
  <si>
    <t>2020Dec</t>
  </si>
  <si>
    <t>2020Nov</t>
  </si>
  <si>
    <t>2020Oct</t>
  </si>
  <si>
    <t>2020Sep</t>
  </si>
  <si>
    <t>2020Aug</t>
  </si>
  <si>
    <t>2020Jul</t>
  </si>
  <si>
    <t>2020Jun</t>
  </si>
  <si>
    <t>2020May</t>
  </si>
  <si>
    <t>2020Apr</t>
  </si>
  <si>
    <t>2020Mar</t>
  </si>
  <si>
    <t>2020Feb</t>
  </si>
  <si>
    <t>2020Jan</t>
  </si>
  <si>
    <t>Total Merchandise Imports</t>
  </si>
  <si>
    <t xml:space="preserve">    Meat &amp; Meat Preparations</t>
  </si>
  <si>
    <t xml:space="preserve">    Fish, Seafood (Excl Marine Mammals) &amp; Preparations</t>
  </si>
  <si>
    <t xml:space="preserve">    Vegetables &amp; Fruit</t>
  </si>
  <si>
    <t xml:space="preserve">    Coffee, Tea, Cocoa, Spices &amp; Manufactures</t>
  </si>
  <si>
    <t xml:space="preserve">    Beverages</t>
  </si>
  <si>
    <t xml:space="preserve">    Crude Animal &amp; Vegetable Materials Nes</t>
  </si>
  <si>
    <t xml:space="preserve">    Fixed Vegetable Fats &amp; Oils Crude Refined Or Fractionated</t>
  </si>
  <si>
    <t xml:space="preserve">    Animal Or Vegetable Fats &amp; Oils Processed Waxes Of Animal Or Vegetable Origin Inedible Mixtures Or Preparations Of Animal Or Vegetable Fats Or Oils Nes</t>
  </si>
  <si>
    <t>Singapore Food Import Data (https://data.gov.sg/datasets/d_b89e35ce38cb93a17f5c016e71f50690/view)</t>
  </si>
  <si>
    <t xml:space="preserve">2026 Jun </t>
  </si>
  <si>
    <t xml:space="preserve">2026 May </t>
  </si>
  <si>
    <t xml:space="preserve">2026 Apr </t>
  </si>
  <si>
    <t xml:space="preserve">2026 Mar </t>
  </si>
  <si>
    <t xml:space="preserve">2026 Feb </t>
  </si>
  <si>
    <t xml:space="preserve">2026 Jan </t>
  </si>
  <si>
    <t xml:space="preserve">2025 Dec </t>
  </si>
  <si>
    <t xml:space="preserve">2025 Nov </t>
  </si>
  <si>
    <t xml:space="preserve">2025 Oct </t>
  </si>
  <si>
    <t xml:space="preserve">2025 Sep </t>
  </si>
  <si>
    <t xml:space="preserve">2025 Aug </t>
  </si>
  <si>
    <t xml:space="preserve">2025 Jul </t>
  </si>
  <si>
    <t xml:space="preserve">2025 Jun </t>
  </si>
  <si>
    <t xml:space="preserve">2025 May </t>
  </si>
  <si>
    <t xml:space="preserve">2025 Apr </t>
  </si>
  <si>
    <t xml:space="preserve">2025 Mar </t>
  </si>
  <si>
    <t xml:space="preserve">2025 Feb 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</si>
  <si>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</si>
  <si>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</si>
  <si>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</si>
  <si>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</si>
  <si>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</si>
  <si>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</si>
  <si>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</si>
  <si>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</si>
  <si>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</si>
  <si>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</si>
  <si>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</si>
  <si>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</si>
  <si>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</si>
  <si>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</si>
  <si>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</si>
  <si>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</si>
  <si>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</si>
  <si>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</si>
  <si>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</si>
  <si>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</si>
  <si>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</si>
  <si>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</si>
  <si>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</si>
  <si>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</si>
  <si>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</si>
  <si>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</si>
  <si>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</si>
  <si>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</si>
  <si>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</si>
  <si>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</si>
  <si>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</si>
  <si>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</si>
  <si>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</si>
  <si>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</si>
  <si>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</si>
  <si>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</si>
  <si>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</si>
  <si>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</si>
  <si>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</si>
  <si>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</si>
  <si>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</si>
  <si>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</si>
  <si>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</si>
  <si>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</si>
  <si>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</si>
  <si>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</si>
  <si>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</si>
  <si>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</si>
  <si>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</si>
  <si>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</si>
  <si>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</si>
  <si>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</si>
  <si>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</si>
  <si>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</si>
  <si>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</si>
  <si>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</si>
  <si>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</si>
  <si>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</si>
  <si>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</si>
  <si>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</si>
  <si>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</si>
  <si>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>Total Domestic Exports</t>
  </si>
  <si>
    <t xml:space="preserve">  Fish, Seafood (Excl Marine Mammals) &amp; Preparations</t>
  </si>
  <si>
    <t xml:space="preserve">  Cereals &amp; Cereal Preparations</t>
  </si>
  <si>
    <t xml:space="preserve">  Vegetables &amp; Fruit</t>
  </si>
  <si>
    <t xml:space="preserve">  Coffee, Tea, Cocoa, Spices &amp; Manufactures</t>
  </si>
  <si>
    <t xml:space="preserve">  Beverages</t>
  </si>
  <si>
    <t xml:space="preserve">  Crude Animal &amp; Vegetable Materials Nes</t>
  </si>
  <si>
    <t xml:space="preserve">  Fixed Vegetable Fats &amp; Oils Crude Refined Or Fractionated</t>
  </si>
  <si>
    <t xml:space="preserve">  Animal Or Vegetable Fats &amp; Oils Processed Waxes Of Animal Or Vegetable Origin Inedible Mixtures Or Preparations Of Animal Or Vegetable Fats Or Oils Nes</t>
  </si>
  <si>
    <t>Singapore Food Export Data (https://tablebuilder.singstat.gov.sg/table/TS/M451041)</t>
  </si>
  <si>
    <t>Imports</t>
  </si>
  <si>
    <t>Exports</t>
  </si>
  <si>
    <t>Emission Factors &amp; Allocation Factors</t>
  </si>
  <si>
    <t>Stock Variation</t>
  </si>
  <si>
    <t>Thousand Dollars</t>
  </si>
  <si>
    <t>Thousand dollars</t>
  </si>
  <si>
    <t>Production</t>
  </si>
  <si>
    <t>2050 Baseline 1</t>
  </si>
  <si>
    <t>Raw FSC data (Johnson &amp; Staffell, 2026)</t>
  </si>
  <si>
    <t>Changes in stocks</t>
  </si>
  <si>
    <t>FSC1 Input</t>
  </si>
  <si>
    <t>LF</t>
  </si>
  <si>
    <t>FSC1 Emissions</t>
  </si>
  <si>
    <t>FSC2 Input</t>
  </si>
  <si>
    <t>FSC2 Emissions</t>
  </si>
  <si>
    <t>FSC3 Input</t>
  </si>
  <si>
    <t>FSC3 Losses</t>
  </si>
  <si>
    <t>FSC3 Emissions</t>
  </si>
  <si>
    <t>Total Losses</t>
  </si>
  <si>
    <t>FSC5 Losses</t>
  </si>
  <si>
    <t>FSC5 Emissions</t>
  </si>
  <si>
    <t>FSC5 Input</t>
  </si>
  <si>
    <t>FSC4 Losses</t>
  </si>
  <si>
    <t>FSC4 Emissions</t>
  </si>
  <si>
    <t>FSC4 Input</t>
  </si>
  <si>
    <t>Food Item</t>
  </si>
  <si>
    <t>Commodity Group</t>
  </si>
  <si>
    <t>EF (tCO2e/t food)</t>
  </si>
  <si>
    <t>Domestic production (t)</t>
  </si>
  <si>
    <t>FSC1 Losses</t>
  </si>
  <si>
    <t>FSC2 Losses</t>
  </si>
  <si>
    <t>Total Emissions (t)</t>
  </si>
  <si>
    <t>Imports (t)</t>
  </si>
  <si>
    <t>Total Losses (t)</t>
  </si>
  <si>
    <t>2050 (Population: 6.091 million) (UN Department of Economic and Social Affairs, Population Division, 2024)</t>
  </si>
  <si>
    <t>2020 (Population: 5.68 million) (UN Department of Economic and Social Affairs, Population Division, 2024)</t>
  </si>
  <si>
    <t>Net import emissions (t)</t>
  </si>
  <si>
    <t>Meat (Mt)</t>
  </si>
  <si>
    <t>Source: World Bank Group</t>
  </si>
  <si>
    <t>Source: Author's own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</si>
</sst>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  <numFmt numFmtId="168" formatCode="_(* #,##0.0000_);_(* \(#,##0.0000\);_(* &quot;-&quot;??_);_(@_)"/>
  </numFmts>
  <fonts count="43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rial"/>
      <family val="2"/>
    </font>
    <font>
      <u/>
      <sz val="10"/>
      <color rgb="FF0000FF"/>
      <name val="Aptos Narrow"/>
      <family val="2"/>
    </font>
    <font>
      <strike/>
      <sz val="10"/>
      <color theme="1"/>
      <name val="Aptos Narrow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434343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6D9EEB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  <font>
      <b/>
      <sz val="9"/>
      <color theme="0" tint="-0.14999847407452621"/>
      <name val="Calibri"/>
      <family val="2"/>
      <scheme val="minor"/>
    </font>
    <font>
      <b/>
      <sz val="10"/>
      <color theme="0"/>
      <name val="Aptos Narrow"/>
      <family val="2"/>
    </font>
    <font>
      <b/>
      <sz val="10"/>
      <color theme="0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trike/>
      <sz val="10"/>
      <color rgb="FFFF0000"/>
      <name val="Calibri Light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sz val="10"/>
      <color theme="9" tint="-0.249977111117893"/>
      <name val="Calibri"/>
      <family val="2"/>
      <scheme val="minor"/>
    </font>
    <font>
      <sz val="10"/>
      <color rgb="FF000000"/>
      <name val="Calibri"/>
      <family val="2"/>
    </font>
    <font>
      <sz val="10"/>
      <color theme="8" tint="-0.249977111117893"/>
      <name val="Calibri"/>
      <family val="2"/>
      <scheme val="minor"/>
    </font>
    <font>
      <sz val="10"/>
      <color theme="8" tint="-0.249977111117893"/>
      <name val="Calibri (Body)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u/>
      <sz val="10"/>
      <color rgb="FF0563C1"/>
      <name val="Times New Roman"/>
      <family val="1"/>
    </font>
    <font>
      <b/>
      <sz val="9"/>
      <color theme="1"/>
      <name val="Times New Roman"/>
      <family val="1"/>
    </font>
    <font>
      <b/>
      <sz val="10"/>
      <color rgb="FF000000"/>
      <name val="Calibri"/>
      <family val="2"/>
    </font>
    <font>
      <b/>
      <sz val="10"/>
      <color theme="8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indexed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6DCD"/>
        <bgColor rgb="FFD86ECC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497B0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24" fillId="0" borderId="0" applyFont="0" applyFill="0" applyBorder="0" applyAlignment="0" applyProtection="0"/>
    <xf numFmtId="0" fontId="33" fillId="0" borderId="0"/>
    <xf numFmtId="0" fontId="3" fillId="0" borderId="0"/>
    <xf numFmtId="0" fontId="34" fillId="0" borderId="0"/>
    <xf numFmtId="0" fontId="36" fillId="0" borderId="0"/>
    <xf numFmtId="0" fontId="34" fillId="0" borderId="0"/>
    <xf numFmtId="0" fontId="37" fillId="10" borderId="8"/>
    <xf numFmtId="4" fontId="35" fillId="11" borderId="7"/>
    <xf numFmtId="0" fontId="35" fillId="10" borderId="9"/>
    <xf numFmtId="0" fontId="35" fillId="0" borderId="10"/>
    <xf numFmtId="0" fontId="6" fillId="0" borderId="0"/>
    <xf numFmtId="0" fontId="42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4" fillId="0" borderId="0" xfId="0" applyFont="1" applyAlignment="1">
      <alignment horizontal="right"/>
    </xf>
    <xf numFmtId="2" fontId="6" fillId="0" borderId="0" xfId="0" applyNumberFormat="1" applyFont="1"/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2" fontId="4" fillId="0" borderId="0" xfId="0" applyNumberFormat="1" applyFont="1"/>
    <xf numFmtId="0" fontId="7" fillId="0" borderId="0" xfId="0" applyFont="1"/>
    <xf numFmtId="0" fontId="8" fillId="0" borderId="2" xfId="0" applyFont="1" applyBorder="1"/>
    <xf numFmtId="0" fontId="8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4" fillId="0" borderId="2" xfId="0" applyFont="1" applyBorder="1"/>
    <xf numFmtId="164" fontId="6" fillId="0" borderId="0" xfId="0" applyNumberFormat="1" applyFont="1" applyAlignment="1">
      <alignment horizontal="right"/>
    </xf>
    <xf numFmtId="0" fontId="6" fillId="0" borderId="3" xfId="0" applyFont="1" applyBorder="1"/>
    <xf numFmtId="0" fontId="4" fillId="0" borderId="4" xfId="0" applyFont="1" applyBorder="1"/>
    <xf numFmtId="1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6" fillId="0" borderId="4" xfId="0" applyFont="1" applyBorder="1"/>
    <xf numFmtId="164" fontId="4" fillId="0" borderId="1" xfId="0" applyNumberFormat="1" applyFont="1" applyBorder="1" applyAlignment="1">
      <alignment horizontal="right"/>
    </xf>
    <xf numFmtId="164" fontId="4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3" fillId="2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4" fillId="0" borderId="0" xfId="0" applyFont="1"/>
    <xf numFmtId="0" fontId="15" fillId="4" borderId="5" xfId="0" applyFont="1" applyFill="1" applyBorder="1"/>
    <xf numFmtId="0" fontId="14" fillId="0" borderId="0" xfId="0" applyFont="1" applyAlignment="1">
      <alignment horizontal="center"/>
    </xf>
    <xf numFmtId="9" fontId="14" fillId="0" borderId="0" xfId="0" applyNumberFormat="1" applyFont="1" applyAlignment="1">
      <alignment horizontal="center"/>
    </xf>
    <xf numFmtId="1" fontId="14" fillId="2" borderId="0" xfId="0" applyNumberFormat="1" applyFont="1" applyFill="1" applyAlignment="1">
      <alignment horizontal="center"/>
    </xf>
    <xf numFmtId="165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/>
    </xf>
    <xf numFmtId="1" fontId="14" fillId="3" borderId="0" xfId="0" applyNumberFormat="1" applyFont="1" applyFill="1"/>
    <xf numFmtId="0" fontId="15" fillId="5" borderId="6" xfId="0" applyFont="1" applyFill="1" applyBorder="1"/>
    <xf numFmtId="1" fontId="14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7" fillId="0" borderId="0" xfId="0" applyFont="1"/>
    <xf numFmtId="164" fontId="14" fillId="0" borderId="0" xfId="0" applyNumberFormat="1" applyFont="1" applyAlignment="1">
      <alignment horizontal="center"/>
    </xf>
    <xf numFmtId="164" fontId="14" fillId="2" borderId="0" xfId="0" applyNumberFormat="1" applyFont="1" applyFill="1" applyAlignment="1">
      <alignment horizontal="center"/>
    </xf>
    <xf numFmtId="166" fontId="14" fillId="0" borderId="0" xfId="0" applyNumberFormat="1" applyFont="1" applyAlignment="1">
      <alignment horizontal="center"/>
    </xf>
    <xf numFmtId="2" fontId="14" fillId="2" borderId="0" xfId="0" applyNumberFormat="1" applyFont="1" applyFill="1" applyAlignment="1">
      <alignment horizontal="center"/>
    </xf>
    <xf numFmtId="0" fontId="14" fillId="3" borderId="0" xfId="0" applyFont="1" applyFill="1"/>
    <xf numFmtId="0" fontId="14" fillId="2" borderId="0" xfId="0" applyFont="1" applyFill="1" applyAlignment="1">
      <alignment horizontal="center"/>
    </xf>
    <xf numFmtId="1" fontId="14" fillId="3" borderId="0" xfId="0" applyNumberFormat="1" applyFont="1" applyFill="1" applyAlignment="1">
      <alignment horizontal="center"/>
    </xf>
    <xf numFmtId="0" fontId="20" fillId="0" borderId="0" xfId="0" applyFont="1"/>
    <xf numFmtId="164" fontId="14" fillId="3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1" fontId="22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6" borderId="0" xfId="0" applyFont="1" applyFill="1"/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9" fillId="0" borderId="0" xfId="0" applyNumberFormat="1" applyFont="1"/>
    <xf numFmtId="2" fontId="9" fillId="6" borderId="0" xfId="0" applyNumberFormat="1" applyFont="1" applyFill="1"/>
    <xf numFmtId="0" fontId="2" fillId="6" borderId="0" xfId="0" applyFont="1" applyFill="1"/>
    <xf numFmtId="2" fontId="2" fillId="6" borderId="0" xfId="0" applyNumberFormat="1" applyFont="1" applyFill="1"/>
    <xf numFmtId="1" fontId="0" fillId="0" borderId="0" xfId="0" applyNumberFormat="1"/>
    <xf numFmtId="0" fontId="9" fillId="7" borderId="0" xfId="0" applyFont="1" applyFill="1"/>
    <xf numFmtId="2" fontId="9" fillId="7" borderId="0" xfId="0" applyNumberFormat="1" applyFont="1" applyFill="1"/>
    <xf numFmtId="1" fontId="0" fillId="7" borderId="0" xfId="0" applyNumberFormat="1" applyFill="1"/>
    <xf numFmtId="0" fontId="2" fillId="7" borderId="0" xfId="0" applyFont="1" applyFill="1"/>
    <xf numFmtId="2" fontId="2" fillId="7" borderId="0" xfId="0" applyNumberFormat="1" applyFont="1" applyFill="1"/>
    <xf numFmtId="1" fontId="0" fillId="6" borderId="0" xfId="0" applyNumberFormat="1" applyFill="1"/>
    <xf numFmtId="43" fontId="0" fillId="0" borderId="0" xfId="1" applyFont="1"/>
    <xf numFmtId="2" fontId="2" fillId="0" borderId="0" xfId="0" applyNumberFormat="1" applyFont="1"/>
    <xf numFmtId="0" fontId="26" fillId="0" borderId="2" xfId="0" applyFont="1" applyBorder="1"/>
    <xf numFmtId="0" fontId="26" fillId="0" borderId="0" xfId="0" applyFont="1"/>
    <xf numFmtId="0" fontId="28" fillId="9" borderId="0" xfId="0" applyFont="1" applyFill="1"/>
    <xf numFmtId="0" fontId="12" fillId="0" borderId="0" xfId="0" applyFont="1"/>
    <xf numFmtId="0" fontId="29" fillId="0" borderId="0" xfId="0" applyFont="1"/>
    <xf numFmtId="0" fontId="11" fillId="0" borderId="0" xfId="0" applyFont="1" applyAlignment="1">
      <alignment horizontal="center"/>
    </xf>
    <xf numFmtId="0" fontId="11" fillId="7" borderId="0" xfId="0" applyFont="1" applyFill="1"/>
    <xf numFmtId="43" fontId="10" fillId="0" borderId="0" xfId="1" applyFont="1"/>
    <xf numFmtId="43" fontId="11" fillId="7" borderId="0" xfId="0" applyNumberFormat="1" applyFont="1" applyFill="1"/>
    <xf numFmtId="43" fontId="11" fillId="0" borderId="0" xfId="0" applyNumberFormat="1" applyFont="1"/>
    <xf numFmtId="168" fontId="11" fillId="0" borderId="0" xfId="0" applyNumberFormat="1" applyFont="1"/>
    <xf numFmtId="43" fontId="29" fillId="0" borderId="0" xfId="1" applyFont="1"/>
    <xf numFmtId="0" fontId="32" fillId="0" borderId="0" xfId="0" applyFont="1"/>
    <xf numFmtId="0" fontId="30" fillId="0" borderId="0" xfId="0" applyFont="1"/>
    <xf numFmtId="168" fontId="29" fillId="0" borderId="0" xfId="1" applyNumberFormat="1" applyFont="1" applyFill="1"/>
    <xf numFmtId="168" fontId="11" fillId="0" borderId="0" xfId="1" applyNumberFormat="1" applyFont="1" applyFill="1"/>
    <xf numFmtId="168" fontId="29" fillId="0" borderId="0" xfId="1" applyNumberFormat="1" applyFont="1"/>
    <xf numFmtId="167" fontId="29" fillId="0" borderId="0" xfId="1" applyNumberFormat="1" applyFont="1"/>
    <xf numFmtId="168" fontId="11" fillId="7" borderId="0" xfId="0" applyNumberFormat="1" applyFont="1" applyFill="1"/>
    <xf numFmtId="167" fontId="29" fillId="0" borderId="0" xfId="1" applyNumberFormat="1" applyFont="1" applyFill="1"/>
    <xf numFmtId="167" fontId="31" fillId="0" borderId="0" xfId="1" applyNumberFormat="1" applyFont="1" applyFill="1"/>
    <xf numFmtId="43" fontId="31" fillId="0" borderId="0" xfId="1" applyFont="1" applyFill="1"/>
    <xf numFmtId="43" fontId="29" fillId="0" borderId="0" xfId="1" applyFont="1" applyFill="1"/>
    <xf numFmtId="0" fontId="38" fillId="0" borderId="0" xfId="0" applyFont="1"/>
    <xf numFmtId="43" fontId="0" fillId="0" borderId="0" xfId="0" applyNumberFormat="1"/>
    <xf numFmtId="0" fontId="39" fillId="0" borderId="11" xfId="0" applyFont="1" applyBorder="1"/>
    <xf numFmtId="43" fontId="39" fillId="0" borderId="11" xfId="1" applyFont="1" applyBorder="1"/>
    <xf numFmtId="0" fontId="31" fillId="0" borderId="0" xfId="0" applyFont="1"/>
    <xf numFmtId="167" fontId="31" fillId="0" borderId="0" xfId="1" applyNumberFormat="1" applyFont="1"/>
    <xf numFmtId="43" fontId="31" fillId="0" borderId="0" xfId="1" applyFont="1"/>
    <xf numFmtId="43" fontId="31" fillId="0" borderId="0" xfId="0" applyNumberFormat="1" applyFont="1"/>
    <xf numFmtId="168" fontId="31" fillId="0" borderId="0" xfId="0" applyNumberFormat="1" applyFont="1"/>
    <xf numFmtId="0" fontId="39" fillId="0" borderId="11" xfId="0" applyFont="1" applyBorder="1" applyAlignment="1">
      <alignment horizontal="right"/>
    </xf>
    <xf numFmtId="0" fontId="40" fillId="0" borderId="0" xfId="0" applyFont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11" fillId="12" borderId="0" xfId="0" applyFont="1" applyFill="1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0" fillId="8" borderId="0" xfId="0" applyNumberFormat="1" applyFill="1"/>
    <xf numFmtId="0" fontId="10" fillId="8" borderId="0" xfId="3" applyFont="1" applyFill="1" applyAlignment="1">
      <alignment horizontal="center"/>
    </xf>
    <xf numFmtId="0" fontId="10" fillId="7" borderId="0" xfId="3" applyFont="1" applyFill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12" xfId="0" applyFont="1" applyBorder="1"/>
    <xf numFmtId="0" fontId="0" fillId="0" borderId="13" xfId="0" applyBorder="1"/>
    <xf numFmtId="0" fontId="0" fillId="0" borderId="14" xfId="0" applyBorder="1"/>
    <xf numFmtId="0" fontId="10" fillId="0" borderId="15" xfId="0" applyFont="1" applyBorder="1"/>
    <xf numFmtId="0" fontId="10" fillId="0" borderId="0" xfId="0" applyFont="1" applyBorder="1"/>
    <xf numFmtId="0" fontId="10" fillId="0" borderId="16" xfId="0" applyFont="1" applyBorder="1"/>
    <xf numFmtId="43" fontId="0" fillId="0" borderId="15" xfId="1" applyFont="1" applyBorder="1" applyAlignment="1">
      <alignment horizontal="center"/>
    </xf>
    <xf numFmtId="43" fontId="0" fillId="0" borderId="0" xfId="1" applyFont="1" applyBorder="1"/>
    <xf numFmtId="43" fontId="0" fillId="0" borderId="16" xfId="1" applyFont="1" applyBorder="1"/>
    <xf numFmtId="43" fontId="11" fillId="0" borderId="15" xfId="1" applyFont="1" applyBorder="1" applyAlignment="1">
      <alignment horizontal="center"/>
    </xf>
    <xf numFmtId="43" fontId="11" fillId="0" borderId="15" xfId="1" applyFont="1" applyFill="1" applyBorder="1" applyAlignment="1">
      <alignment horizontal="center"/>
    </xf>
    <xf numFmtId="43" fontId="0" fillId="0" borderId="15" xfId="1" applyFont="1" applyFill="1" applyBorder="1" applyAlignment="1">
      <alignment horizontal="center"/>
    </xf>
    <xf numFmtId="43" fontId="0" fillId="0" borderId="17" xfId="1" applyFont="1" applyBorder="1"/>
    <xf numFmtId="43" fontId="0" fillId="0" borderId="18" xfId="1" applyFont="1" applyBorder="1"/>
    <xf numFmtId="43" fontId="0" fillId="0" borderId="19" xfId="1" applyFont="1" applyBorder="1"/>
  </cellXfs>
  <cellStyles count="14">
    <cellStyle name="5x indented GHG Textfiels" xfId="9" xr:uid="{D667254D-4FD0-0E46-A43E-7793A07D8432}"/>
    <cellStyle name="Comma" xfId="1" builtinId="3"/>
    <cellStyle name="Comma 2" xfId="13" xr:uid="{2F0E65E3-0C51-6B4B-A0CF-A0C791C3A2A2}"/>
    <cellStyle name="Constants" xfId="4" xr:uid="{D391E18B-CAD9-C54F-9843-8A3FD2CA3CD8}"/>
    <cellStyle name="CustomizationCells" xfId="10" xr:uid="{E94C35BC-5C2B-E249-B811-3B46547BCA0C}"/>
    <cellStyle name="Headline" xfId="2" xr:uid="{336CCA7E-0E9E-FE49-A895-9996532F553C}"/>
    <cellStyle name="Hyperlink 2" xfId="5" xr:uid="{EBE0B245-B9E0-634B-8CBF-2D729F28F642}"/>
    <cellStyle name="Hyperlink 3" xfId="12" xr:uid="{0006015D-A351-5242-B0CD-768A87ACE22B}"/>
    <cellStyle name="Normal" xfId="0" builtinId="0"/>
    <cellStyle name="Normal 2" xfId="3" xr:uid="{25B30000-33EC-3C4F-9996-6F9001F56344}"/>
    <cellStyle name="Normal 3" xfId="11" xr:uid="{B7932F92-335C-B042-A9E6-F0BF972293EA}"/>
    <cellStyle name="Normal GHG Textfiels Bold" xfId="7" xr:uid="{9AB7A426-FB8F-DC40-A6C8-5DCC2772F07B}"/>
    <cellStyle name="Normal GHG-Shade" xfId="8" xr:uid="{72B48538-40EF-814B-A365-A759F8A6094B}"/>
    <cellStyle name="Обычный_CRF2002 (1)" xfId="6" xr:uid="{5BDD098C-119F-4F44-9D2A-380120DD7CC8}"/>
  </cellStyles>
  <dxfs count="78"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outline val="0"/>
        <shadow val="0"/>
        <u val="no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0"/>
      </font>
    </dxf>
    <dxf>
      <font>
        <strike val="0"/>
        <outline val="0"/>
        <shadow val="0"/>
        <u val="none"/>
        <vertAlign val="baseline"/>
        <sz val="10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8" formatCode="_(* #,##0.0000_);_(* \(#,##0.0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8" formatCode="_(* #,##0.0000_);_(* \(#,##0.0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8" formatCode="_(* #,##0.0000_);_(* \(#,##0.0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8" formatCode="_(* #,##0.0000_);_(* \(#,##0.0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name="Singapore Context-style" pivot="0" count="4" xr9:uid="{00000000-0011-0000-FFFF-FFFF00000000}">
      <tableStyleElement type="wholeTable" size="0" dxfId="77"/>
      <tableStyleElement type="headerRow" dxfId="76"/>
      <tableStyleElement type="firstRowStripe" dxfId="75"/>
      <tableStyleElement type="secondRowStripe" dxfId="74"/>
    </tableStyle>
    <tableStyle name="Singapore Context-style 2" pivot="0" count="4" xr9:uid="{00000000-0011-0000-FFFF-FFFF01000000}">
      <tableStyleElement type="wholeTable" size="0" dxfId="73"/>
      <tableStyleElement type="headerRow" dxfId="72"/>
      <tableStyleElement type="firstRowStripe" dxfId="71"/>
      <tableStyleElement type="secondRowStripe" dxfId="70"/>
    </tableStyle>
    <tableStyle name="Singapore Context-style 3" pivot="0" count="4" xr9:uid="{00000000-0011-0000-FFFF-FFFF02000000}">
      <tableStyleElement type="wholeTable" size="0" dxfId="69"/>
      <tableStyleElement type="headerRow" dxfId="68"/>
      <tableStyleElement type="firstRowStripe" dxfId="67"/>
      <tableStyleElement type="secondRowStripe" dxfId="66"/>
    </tableStyle>
    <tableStyle name="Singapore Effort-style" pivot="0" count="4" xr9:uid="{00000000-0011-0000-FFFF-FFFF03000000}">
      <tableStyleElement type="wholeTable" size="0" dxfId="65"/>
      <tableStyleElement type="headerRow" dxfId="64"/>
      <tableStyleElement type="firstRowStripe" dxfId="63"/>
      <tableStyleElement type="secondRowStripe" dxfId="62"/>
    </tableStyle>
    <tableStyle name="Power-style" pivot="0" count="2" xr9:uid="{00000000-0011-0000-FFFF-FFFF04000000}">
      <tableStyleElement type="firstRowStripe" dxfId="61"/>
      <tableStyleElement type="secondRowStripe" dxfId="60"/>
    </tableStyle>
    <tableStyle name="Industry-style" pivot="0" count="2" xr9:uid="{00000000-0011-0000-FFFF-FFFF05000000}">
      <tableStyleElement type="firstRowStripe" dxfId="59"/>
      <tableStyleElement type="secondRowStripe" dxfId="58"/>
    </tableStyle>
    <tableStyle name="Buildings-style" pivot="0" count="2" xr9:uid="{00000000-0011-0000-FFFF-FFFF06000000}">
      <tableStyleElement type="firstRowStripe" dxfId="57"/>
      <tableStyleElement type="secondRowStripe" dxfId="56"/>
    </tableStyle>
    <tableStyle name="Transport-style" pivot="0" count="2" xr9:uid="{00000000-0011-0000-FFFF-FFFF07000000}">
      <tableStyleElement type="firstRowStripe" dxfId="55"/>
      <tableStyleElement type="secondRowStripe" dxfId="54"/>
    </tableStyle>
    <tableStyle name="Land Use-style" pivot="0" count="2" xr9:uid="{00000000-0011-0000-FFFF-FFFF08000000}">
      <tableStyleElement type="firstRowStripe" dxfId="53"/>
      <tableStyleElement type="secondRowStripe" dxfId="52"/>
    </tableStyle>
    <tableStyle name="Food-style" pivot="0" count="2" xr9:uid="{00000000-0011-0000-FFFF-FFFF09000000}">
      <tableStyleElement type="firstRowStripe" dxfId="51"/>
      <tableStyleElement type="secondRow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Singapore oil and gas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98217456558423"/>
          <c:y val="0.20792400079723261"/>
          <c:w val="0.78495374237050097"/>
          <c:h val="0.63811126855545275"/>
        </c:manualLayout>
      </c:layout>
      <c:lineChart>
        <c:grouping val="standard"/>
        <c:varyColors val="0"/>
        <c:ser>
          <c:idx val="0"/>
          <c:order val="0"/>
          <c:tx>
            <c:strRef>
              <c:f>Methane!$D$10</c:f>
              <c:strCache>
                <c:ptCount val="1"/>
                <c:pt idx="0">
                  <c:v> Gas supply (TWh)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7.4232475655985663E-3"/>
                  <c:y val="3.474214557369327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37-BA49-8536-E2474E831B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Methane!$B$11:$B$51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Methane!$D$11:$D$51</c:f>
              <c:numCache>
                <c:formatCode>_(* #,##0.0000_);_(* \(#,##0.0000\);_(* "-"??_);_(@_)</c:formatCode>
                <c:ptCount val="41"/>
                <c:pt idx="0">
                  <c:v>83.904638888888897</c:v>
                </c:pt>
                <c:pt idx="1">
                  <c:v>84.745472222222219</c:v>
                </c:pt>
                <c:pt idx="2">
                  <c:v>91.895611111111108</c:v>
                </c:pt>
                <c:pt idx="3">
                  <c:v>103.4616388888889</c:v>
                </c:pt>
                <c:pt idx="4">
                  <c:v>108.50269444444444</c:v>
                </c:pt>
                <c:pt idx="5">
                  <c:v>110.42569444444445</c:v>
                </c:pt>
                <c:pt idx="6">
                  <c:v>113.18433333333333</c:v>
                </c:pt>
                <c:pt idx="7">
                  <c:v>113.80947222222221</c:v>
                </c:pt>
                <c:pt idx="8">
                  <c:v>116.22713888888889</c:v>
                </c:pt>
                <c:pt idx="9">
                  <c:v>117.95613888888889</c:v>
                </c:pt>
                <c:pt idx="10">
                  <c:v>119.23619444444444</c:v>
                </c:pt>
                <c:pt idx="11">
                  <c:v>123.81397222222222</c:v>
                </c:pt>
                <c:pt idx="12">
                  <c:v>122.39386111111112</c:v>
                </c:pt>
                <c:pt idx="13">
                  <c:v>122.34563888888889</c:v>
                </c:pt>
                <c:pt idx="14">
                  <c:v>125.84436111111111</c:v>
                </c:pt>
                <c:pt idx="15" formatCode="General">
                  <c:v>126.25120555555577</c:v>
                </c:pt>
                <c:pt idx="16" formatCode="General">
                  <c:v>126.62729777777804</c:v>
                </c:pt>
                <c:pt idx="17" formatCode="General">
                  <c:v>128.40420488888913</c:v>
                </c:pt>
                <c:pt idx="18" formatCode="General">
                  <c:v>129.76456224444428</c:v>
                </c:pt>
                <c:pt idx="19" formatCode="General">
                  <c:v>130.37634679555526</c:v>
                </c:pt>
                <c:pt idx="20" formatCode="General">
                  <c:v>131.70098753644425</c:v>
                </c:pt>
                <c:pt idx="21" formatCode="General">
                  <c:v>133.01053627582178</c:v>
                </c:pt>
                <c:pt idx="22" formatCode="General">
                  <c:v>133.99605396799052</c:v>
                </c:pt>
                <c:pt idx="23" formatCode="General">
                  <c:v>135.09884924225889</c:v>
                </c:pt>
                <c:pt idx="24" formatCode="General">
                  <c:v>136.35857616109979</c:v>
                </c:pt>
                <c:pt idx="25" formatCode="General">
                  <c:v>137.45404770144751</c:v>
                </c:pt>
                <c:pt idx="26" formatCode="General">
                  <c:v>138.55847618303142</c:v>
                </c:pt>
                <c:pt idx="27" formatCode="General">
                  <c:v>139.73721351794666</c:v>
                </c:pt>
                <c:pt idx="28" formatCode="General">
                  <c:v>140.88442113314932</c:v>
                </c:pt>
                <c:pt idx="29" formatCode="General">
                  <c:v>141.99900366751444</c:v>
                </c:pt>
                <c:pt idx="30" formatCode="General">
                  <c:v>143.15138950529354</c:v>
                </c:pt>
                <c:pt idx="31" formatCode="General">
                  <c:v>144.30038583961459</c:v>
                </c:pt>
                <c:pt idx="32" formatCode="General">
                  <c:v>145.43247663734792</c:v>
                </c:pt>
                <c:pt idx="33" formatCode="General">
                  <c:v>146.57278331073348</c:v>
                </c:pt>
                <c:pt idx="34" formatCode="General">
                  <c:v>147.71980171764881</c:v>
                </c:pt>
                <c:pt idx="35" formatCode="General">
                  <c:v>148.85813397087622</c:v>
                </c:pt>
                <c:pt idx="36" formatCode="General">
                  <c:v>149.99756269809177</c:v>
                </c:pt>
                <c:pt idx="37" formatCode="General">
                  <c:v>151.14080850142909</c:v>
                </c:pt>
                <c:pt idx="38" formatCode="General">
                  <c:v>152.28196144830599</c:v>
                </c:pt>
                <c:pt idx="39" formatCode="General">
                  <c:v>153.42175186483064</c:v>
                </c:pt>
                <c:pt idx="40" formatCode="General">
                  <c:v>154.56353405814389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7-BA49-8536-E2474E831BE0}"/>
            </c:ext>
          </c:extLst>
        </c:ser>
        <c:ser>
          <c:idx val="1"/>
          <c:order val="1"/>
          <c:tx>
            <c:strRef>
              <c:f>Methane!$G$10</c:f>
              <c:strCache>
                <c:ptCount val="1"/>
                <c:pt idx="0">
                  <c:v>Oil supply (TWh)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9711946190963557E-2"/>
                  <c:y val="-7.519556419311920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37-BA49-8536-E2474E831BE0}"/>
                </c:ext>
              </c:extLst>
            </c:dLbl>
            <c:dLbl>
              <c:idx val="13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37-BA49-8536-E2474E831B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27"/>
            <c:dispRSqr val="0"/>
            <c:dispEq val="0"/>
          </c:trendline>
          <c:cat>
            <c:numRef>
              <c:f>Methane!$B$11:$B$51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Methane!$G$11:$G$24</c:f>
              <c:numCache>
                <c:formatCode>_(* #,##0.00_);_(* \(#,##0.00\);_(* "-"??_);_(@_)</c:formatCode>
                <c:ptCount val="14"/>
                <c:pt idx="0">
                  <c:v>204.34023479999999</c:v>
                </c:pt>
                <c:pt idx="1">
                  <c:v>162.979704</c:v>
                </c:pt>
                <c:pt idx="2">
                  <c:v>205.76284859999998</c:v>
                </c:pt>
                <c:pt idx="3">
                  <c:v>227.1420588</c:v>
                </c:pt>
                <c:pt idx="4">
                  <c:v>206.87099280000001</c:v>
                </c:pt>
                <c:pt idx="5">
                  <c:v>225.43414440000001</c:v>
                </c:pt>
                <c:pt idx="6">
                  <c:v>239.99280899999999</c:v>
                </c:pt>
                <c:pt idx="7">
                  <c:v>257.27474699999999</c:v>
                </c:pt>
                <c:pt idx="8">
                  <c:v>255.14068739999999</c:v>
                </c:pt>
                <c:pt idx="9">
                  <c:v>249.47745660000001</c:v>
                </c:pt>
                <c:pt idx="10">
                  <c:v>246.07996260000002</c:v>
                </c:pt>
                <c:pt idx="11">
                  <c:v>253.88364239999999</c:v>
                </c:pt>
                <c:pt idx="12">
                  <c:v>255.2473626</c:v>
                </c:pt>
                <c:pt idx="13">
                  <c:v>235.56189899999998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7-BA49-8536-E2474E831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391936"/>
        <c:axId val="1357174912"/>
      </c:lineChart>
      <c:catAx>
        <c:axId val="51539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74912"/>
        <c:crosses val="autoZero"/>
        <c:auto val="1"/>
        <c:lblAlgn val="ctr"/>
        <c:lblOffset val="100"/>
        <c:noMultiLvlLbl val="0"/>
      </c:catAx>
      <c:valAx>
        <c:axId val="135717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9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635987</xdr:colOff>
      <xdr:row>111</xdr:row>
      <xdr:rowOff>121920</xdr:rowOff>
    </xdr:from>
    <xdr:to>
      <xdr:col>2</xdr:col>
      <xdr:colOff>3825107</xdr:colOff>
      <xdr:row>140</xdr:row>
      <xdr:rowOff>81178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761134-BF56-4CFF-9E5F-B8C216A20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987" y="18162270"/>
          <a:ext cx="5656095" cy="4655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330724</xdr:colOff>
      <xdr:row>57</xdr:row>
      <xdr:rowOff>87850</xdr:rowOff>
    </xdr:from>
    <xdr:to>
      <xdr:col>13</xdr:col>
      <xdr:colOff>2573867</xdr:colOff>
      <xdr:row>73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96EF5-4DBA-27E0-ABB7-7E095E2B5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en, Yunxi" id="{E93F802D-37CA-0D43-8B64-4E5E6E1A82D7}" userId="S::ys4625@ic.ac.uk::b2f0b77f-e8bb-4fc9-8e75-573aadde737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0B1B547-5B2E-0843-8AB2-E601C4A76630}" name="Table29" displayName="Table29" ref="B10:K53" totalsRowCount="1" headerRowDxfId="49" dataDxfId="48">
  <autoFilter ref="B10:K52" xr:uid="{C0B1B547-5B2E-0843-8AB2-E601C4A76630}"/>
  <tableColumns count="10">
    <tableColumn id="1" xr3:uid="{34A76287-B494-B740-9F49-E875CD3CAF22}" name="Year" dataDxfId="47" totalsRowDxfId="46"/>
    <tableColumn id="2" xr3:uid="{A2009967-0261-AF4D-B041-DF5741CC17AF}" name="Gas supply (TJ)" dataDxfId="45" totalsRowDxfId="44"/>
    <tableColumn id="3" xr3:uid="{5B4F0CBD-5323-3447-84D5-5206B3CE5291}" name="Gas supply (TWh)" dataDxfId="43" totalsRowDxfId="42"/>
    <tableColumn id="17" xr3:uid="{736725E8-B011-0F46-9CBB-03994B1BFF44}" name="CH4 emissions from gas (tonnes)" dataDxfId="41" totalsRowDxfId="40">
      <calculatedColumnFormula>Table29[[#This Row],[Gas supply (TWh)]]*M11</calculatedColumnFormula>
    </tableColumn>
    <tableColumn id="4" xr3:uid="{6CD7AA92-D8E4-8344-BEA2-E496366347BA}" name="Oil supply (TJ)" dataDxfId="39" totalsRowDxfId="38"/>
    <tableColumn id="5" xr3:uid="{7C1577E7-7768-C44B-A91C-C0576B5E6544}" name="Oil supply (TWh)" dataDxfId="37" totalsRowDxfId="36">
      <calculatedColumnFormula>F11*277.8*10^-6</calculatedColumnFormula>
    </tableColumn>
    <tableColumn id="16" xr3:uid="{422666F3-3F88-974E-9033-0F78A0FF6479}" name="CH4 emissions from oil (tonnes)" dataDxfId="35" totalsRowDxfId="34">
      <calculatedColumnFormula>Table29[[#This Row],[Oil supply (TWh)]]*M11</calculatedColumnFormula>
    </tableColumn>
    <tableColumn id="18" xr3:uid="{FBEC63A8-9179-2F4A-A4D1-7D76BF671B79}" name="Upstream fugitive CH4 emissions from oil and gas (1000 tonnes)" dataDxfId="33" totalsRowDxfId="32"/>
    <tableColumn id="15" xr3:uid="{82BD3EFF-461A-E440-862F-40054EFBB68D}" name="CH4 emissions from oil and gas (1000 tonnes)" totalsRowFunction="custom" dataDxfId="31" totalsRowDxfId="30">
      <totalsRowFormula>(D52+G52)*K23*10^-3</totalsRowFormula>
    </tableColumn>
    <tableColumn id="7" xr3:uid="{78B6CFC5-F543-D041-97C6-079027E85ACC}" name="CH4 intensity (t/TWh)" dataDxfId="29" totalsRowDxfId="28"/>
  </tableColumns>
  <tableStyleInfo name="TableStyleLight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xtual_elements_to_calculate_present_day_shares" displayName="Contextual_elements_to_calculate_present_day_shares" ref="C5:H16">
  <tableColumns count="6">
    <tableColumn id="1" xr3:uid="{00000000-0010-0000-0000-000001000000}" name="Variable"/>
    <tableColumn id="2" xr3:uid="{00000000-0010-0000-0000-000002000000}" name="Year"/>
    <tableColumn id="3" xr3:uid="{00000000-0010-0000-0000-000003000000}" name="Unit"/>
    <tableColumn id="4" xr3:uid="{00000000-0010-0000-0000-000004000000}" name="Value"/>
    <tableColumn id="5" xr3:uid="{00000000-0010-0000-0000-000005000000}" name="Source"/>
    <tableColumn id="6" xr3:uid="{00000000-0010-0000-0000-000006000000}" name="Notes"/>
  </tableColumns>
  <tableStyleInfo name="Singapore Contex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extual_elements_to_calculate_2050_shares_scenario_independent" displayName="Contextual_elements_to_calculate_2050_shares_scenario_independent" ref="C20:H28" headerRowDxfId="27">
  <tableColumns count="6">
    <tableColumn id="1" xr3:uid="{00000000-0010-0000-0100-000001000000}" name="Variable"/>
    <tableColumn id="2" xr3:uid="{00000000-0010-0000-0100-000002000000}" name="Year"/>
    <tableColumn id="3" xr3:uid="{00000000-0010-0000-0100-000003000000}" name="Unit"/>
    <tableColumn id="4" xr3:uid="{00000000-0010-0000-0100-000004000000}" name="Value"/>
    <tableColumn id="5" xr3:uid="{00000000-0010-0000-0100-000005000000}" name="Source"/>
    <tableColumn id="6" xr3:uid="{00000000-0010-0000-0100-000006000000}" name="Notes"/>
  </tableColumns>
  <tableStyleInfo name="Singapore Context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C32:H40" headerRowDxfId="26">
  <tableColumns count="6">
    <tableColumn id="1" xr3:uid="{00000000-0010-0000-0200-000001000000}" name="Variable"/>
    <tableColumn id="2" xr3:uid="{00000000-0010-0000-0200-000002000000}" name="Year"/>
    <tableColumn id="3" xr3:uid="{00000000-0010-0000-0200-000003000000}" name="Unit"/>
    <tableColumn id="4" xr3:uid="{00000000-0010-0000-0200-000004000000}" name="Values"/>
    <tableColumn id="5" xr3:uid="{00000000-0010-0000-0200-000005000000}" name="Source"/>
    <tableColumn id="6" xr3:uid="{00000000-0010-0000-0200-000006000000}" name="Notes"/>
  </tableColumns>
  <tableStyleInfo name="Singapore Context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ctor_Strategy_Targets" displayName="Sector_Strategy_Targets" ref="A1:W44" headerRowDxfId="25" dataDxfId="24" totalsRowDxfId="23">
  <tableColumns count="23">
    <tableColumn id="1" xr3:uid="{00000000-0010-0000-0300-000001000000}" name="#" dataDxfId="22"/>
    <tableColumn id="2" xr3:uid="{00000000-0010-0000-0300-000002000000}" name="Sector" dataDxfId="21"/>
    <tableColumn id="3" xr3:uid="{00000000-0010-0000-0300-000003000000}" name="Strategy" dataDxfId="20"/>
    <tableColumn id="4" xr3:uid="{00000000-0010-0000-0300-000004000000}" name="Strategy Type" dataDxfId="19"/>
    <tableColumn id="5" xr3:uid="{00000000-0010-0000-0300-000005000000}" name="Unit" dataDxfId="18"/>
    <tableColumn id="6" xr3:uid="{00000000-0010-0000-0300-000006000000}" name="Current value (2020)" dataDxfId="17"/>
    <tableColumn id="7" xr3:uid="{00000000-0010-0000-0300-000007000000}" name="Current share" dataDxfId="16"/>
    <tableColumn id="8" xr3:uid="{00000000-0010-0000-0300-000008000000}" name="Source" dataDxfId="15"/>
    <tableColumn id="9" xr3:uid="{00000000-0010-0000-0300-000009000000}" name="Wedge target" dataDxfId="14"/>
    <tableColumn id="10" xr3:uid="{00000000-0010-0000-0300-00000A000000}" name="Wedge target (high)" dataDxfId="13"/>
    <tableColumn id="11" xr3:uid="{00000000-0010-0000-0300-00000B000000}" name="Wedge target (low)" dataDxfId="12"/>
    <tableColumn id="12" xr3:uid="{00000000-0010-0000-0300-00000C000000}" name="Wedge share" dataDxfId="11"/>
    <tableColumn id="13" xr3:uid="{00000000-0010-0000-0300-00000D000000}" name="Wedge share (high)" dataDxfId="10"/>
    <tableColumn id="14" xr3:uid="{00000000-0010-0000-0300-00000E000000}" name="Wedge share (low)" dataDxfId="9"/>
    <tableColumn id="15" xr3:uid="{00000000-0010-0000-0300-00000F000000}" name="Scenario analysis: Wedge target (BAU)" dataDxfId="8"/>
    <tableColumn id="16" xr3:uid="{00000000-0010-0000-0300-000010000000}" name="Scenario analysis: Wedge target (CPS)" dataDxfId="7"/>
    <tableColumn id="17" xr3:uid="{00000000-0010-0000-0300-000011000000}" name="Scenario analysis: Wedge target (NZS)" dataDxfId="6"/>
    <tableColumn id="18" xr3:uid="{00000000-0010-0000-0300-000012000000}" name="Scenario analysis: Wedge share (BAU)" dataDxfId="5"/>
    <tableColumn id="19" xr3:uid="{00000000-0010-0000-0300-000013000000}" name="Scenario analysis: Wedge share (CPS)" dataDxfId="4"/>
    <tableColumn id="20" xr3:uid="{00000000-0010-0000-0300-000014000000}" name="Scenario analysis: Wedge share (NZS)" dataDxfId="3"/>
    <tableColumn id="21" xr3:uid="{00000000-0010-0000-0300-000015000000}" name="Scenario independent: Wedge target (central)" dataDxfId="2"/>
    <tableColumn id="22" xr3:uid="{00000000-0010-0000-0300-000016000000}" name="Scenario independent: Wedge target (high)" dataDxfId="1"/>
    <tableColumn id="23" xr3:uid="{00000000-0010-0000-0300-000017000000}" name="Scenario independent: Wedge target (low)" dataDxfId="0"/>
  </tableColumns>
  <tableStyleInfo name="Singapore Effor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0" dT="2026-07-04T22:06:38.25" personId="{E93F802D-37CA-0D43-8B64-4E5E6E1A82D7}" id="{B0C649C4-87F1-2342-8FD2-93A852BD7153}">
    <text>Source: https://edgar.jrc.ec.europa.eu/dataset_ghg2025</text>
    <extLst>
      <x:ext xmlns:xltc2="http://schemas.microsoft.com/office/spreadsheetml/2020/threadedcomments2" uri="{F7C98A9C-CBB3-438F-8F68-D28B6AF4A901}">
        <xltc2:checksum>1209306466</xltc2:checksum>
        <xltc2:hyperlink startIndex="8" length="46" url="https://edgar.jrc.ec.europa.eu/dataset_ghg2025"/>
      </x:ext>
    </extLst>
  </threadedComment>
  <threadedComment ref="O10" dT="2026-07-05T17:33:01.76" personId="{E93F802D-37CA-0D43-8B64-4E5E6E1A82D7}" id="{7C5D4727-9933-3846-90A1-1F69FEBB71A1}">
    <text>Source: EDGAR 
https://edgar.jrc.ec.europa.eu/dataset_ghg2024</text>
    <extLst>
      <x:ext xmlns:xltc2="http://schemas.microsoft.com/office/spreadsheetml/2020/threadedcomments2" uri="{F7C98A9C-CBB3-438F-8F68-D28B6AF4A901}">
        <xltc2:checksum>1371128913</xltc2:checksum>
        <xltc2:hyperlink startIndex="15" length="46" url="https://edgar.jrc.ec.europa.eu/dataset_ghg2024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6-08-02T13:35:12.58" personId="{E93F802D-37CA-0D43-8B64-4E5E6E1A82D7}" id="{81372DC6-DF25-164E-B4C6-F91EF82CA5DA}">
    <text>Source: SingStat</text>
  </threadedComment>
  <threadedComment ref="D27" dT="2026-08-02T13:35:04.24" personId="{E93F802D-37CA-0D43-8B64-4E5E6E1A82D7}" id="{5FC29309-1D93-864D-8083-D9FE3A485970}">
    <text>Assume weight per egg is 60g</text>
  </threadedComment>
  <threadedComment ref="D39" dT="2026-08-02T13:35:12.58" personId="{E93F802D-37CA-0D43-8B64-4E5E6E1A82D7}" id="{2D564C3C-E41A-B445-BBB9-71D99DF8CEB5}">
    <text>Source: SingStat</text>
  </threadedComment>
  <threadedComment ref="D60" dT="2026-08-02T13:35:04.24" personId="{E93F802D-37CA-0D43-8B64-4E5E6E1A82D7}" id="{96B2411E-D005-AB48-8D8F-355E0C569B27}">
    <text>Assume weight per egg is 60g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fra-data.fao.org/assessments/fra/latest/SGP/home/overview" TargetMode="External"/><Relationship Id="rId2" Type="http://schemas.openxmlformats.org/officeDocument/2006/relationships/hyperlink" Target="https://statbase.org/data/sgp-steel-production/" TargetMode="External"/><Relationship Id="rId1" Type="http://schemas.openxmlformats.org/officeDocument/2006/relationships/hyperlink" Target="https://unstats.un.org/sdgs/dataportal/countryprofiles/sgp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8A3C-9771-4906-823D-69FDA81D5EB6}">
  <sheetPr>
    <tabColor theme="8" tint="-0.499984740745262"/>
  </sheetPr>
  <dimension ref="B2:AA111"/>
  <sheetViews>
    <sheetView topLeftCell="A91" zoomScale="70" zoomScaleNormal="70" workbookViewId="0">
      <selection activeCell="K91" sqref="K91"/>
    </sheetView>
  </sheetViews>
  <sheetFormatPr baseColWidth="10" defaultColWidth="11.3984375" defaultRowHeight="14" x14ac:dyDescent="0.2"/>
  <cols>
    <col min="2" max="2" width="25.59765625" bestFit="1" customWidth="1"/>
    <col min="3" max="3" width="91.19921875" bestFit="1" customWidth="1"/>
    <col min="4" max="4" width="24.3984375" bestFit="1" customWidth="1"/>
    <col min="11" max="11" width="17.3984375" customWidth="1"/>
    <col min="12" max="12" width="22.59765625" customWidth="1"/>
    <col min="13" max="13" width="15.3984375" bestFit="1" customWidth="1"/>
    <col min="16" max="16" width="21.59765625" customWidth="1"/>
    <col min="17" max="17" width="20.59765625" bestFit="1" customWidth="1"/>
    <col min="18" max="18" width="22.19921875" bestFit="1" customWidth="1"/>
    <col min="19" max="19" width="22.19921875" customWidth="1"/>
    <col min="20" max="20" width="25" bestFit="1" customWidth="1"/>
    <col min="21" max="21" width="22.19921875" bestFit="1" customWidth="1"/>
    <col min="22" max="22" width="27" bestFit="1" customWidth="1"/>
    <col min="23" max="23" width="16.59765625" bestFit="1" customWidth="1"/>
    <col min="26" max="26" width="15.59765625" bestFit="1" customWidth="1"/>
    <col min="27" max="27" width="4.59765625" bestFit="1" customWidth="1"/>
  </cols>
  <sheetData>
    <row r="2" spans="2:25" x14ac:dyDescent="0.2">
      <c r="B2" s="32" t="s">
        <v>345</v>
      </c>
      <c r="Y2" s="32"/>
    </row>
    <row r="3" spans="2:25" x14ac:dyDescent="0.2">
      <c r="B3" s="32"/>
    </row>
    <row r="4" spans="2:25" x14ac:dyDescent="0.2">
      <c r="B4" s="32" t="s">
        <v>329</v>
      </c>
    </row>
    <row r="5" spans="2:25" x14ac:dyDescent="0.2">
      <c r="B5" s="85" t="s">
        <v>245</v>
      </c>
      <c r="C5" s="85" t="s">
        <v>230</v>
      </c>
      <c r="D5" s="85" t="s">
        <v>233</v>
      </c>
      <c r="E5" s="85" t="s">
        <v>3</v>
      </c>
    </row>
    <row r="6" spans="2:25" x14ac:dyDescent="0.2">
      <c r="B6" s="86" t="s">
        <v>248</v>
      </c>
      <c r="C6" s="86" t="s">
        <v>249</v>
      </c>
      <c r="D6" s="86">
        <v>1</v>
      </c>
      <c r="E6" s="86" t="s">
        <v>232</v>
      </c>
    </row>
    <row r="7" spans="2:25" x14ac:dyDescent="0.2">
      <c r="B7" s="86" t="s">
        <v>248</v>
      </c>
      <c r="C7" s="86" t="s">
        <v>252</v>
      </c>
      <c r="D7" s="86">
        <v>1650</v>
      </c>
      <c r="E7" s="86" t="s">
        <v>232</v>
      </c>
    </row>
    <row r="8" spans="2:25" x14ac:dyDescent="0.2">
      <c r="B8" s="86" t="s">
        <v>248</v>
      </c>
      <c r="C8" s="86" t="s">
        <v>253</v>
      </c>
      <c r="D8" s="86">
        <v>4620</v>
      </c>
      <c r="E8" s="86" t="s">
        <v>232</v>
      </c>
    </row>
    <row r="9" spans="2:25" x14ac:dyDescent="0.2">
      <c r="B9" s="86" t="s">
        <v>248</v>
      </c>
      <c r="C9" s="86" t="s">
        <v>255</v>
      </c>
      <c r="D9" s="86">
        <v>1</v>
      </c>
      <c r="E9" s="86" t="s">
        <v>232</v>
      </c>
    </row>
    <row r="10" spans="2:25" x14ac:dyDescent="0.2">
      <c r="B10" s="86" t="s">
        <v>248</v>
      </c>
      <c r="C10" s="86" t="s">
        <v>257</v>
      </c>
      <c r="D10" s="86">
        <v>1</v>
      </c>
      <c r="E10" s="86" t="s">
        <v>232</v>
      </c>
    </row>
    <row r="11" spans="2:25" x14ac:dyDescent="0.2">
      <c r="B11" s="86" t="s">
        <v>248</v>
      </c>
      <c r="C11" s="86" t="s">
        <v>258</v>
      </c>
      <c r="D11" s="86">
        <v>858</v>
      </c>
      <c r="E11" s="86" t="s">
        <v>232</v>
      </c>
    </row>
    <row r="12" spans="2:25" x14ac:dyDescent="0.2">
      <c r="B12" s="86" t="s">
        <v>248</v>
      </c>
      <c r="C12" s="86" t="s">
        <v>260</v>
      </c>
      <c r="D12" s="86">
        <v>1120</v>
      </c>
      <c r="E12" s="86" t="s">
        <v>232</v>
      </c>
    </row>
    <row r="13" spans="2:25" x14ac:dyDescent="0.2">
      <c r="B13" s="86" t="s">
        <v>248</v>
      </c>
      <c r="C13" s="86" t="s">
        <v>261</v>
      </c>
      <c r="D13" s="86">
        <v>3350</v>
      </c>
      <c r="E13" s="86" t="s">
        <v>232</v>
      </c>
    </row>
    <row r="14" spans="2:25" x14ac:dyDescent="0.2">
      <c r="B14" s="86" t="s">
        <v>248</v>
      </c>
      <c r="C14" s="86" t="s">
        <v>262</v>
      </c>
      <c r="D14" s="86">
        <v>16</v>
      </c>
      <c r="E14" s="86" t="s">
        <v>232</v>
      </c>
    </row>
    <row r="15" spans="2:25" x14ac:dyDescent="0.2">
      <c r="B15" s="86" t="s">
        <v>248</v>
      </c>
      <c r="C15" s="86" t="s">
        <v>264</v>
      </c>
      <c r="D15" s="86">
        <v>677</v>
      </c>
      <c r="E15" s="86" t="s">
        <v>232</v>
      </c>
    </row>
    <row r="16" spans="2:25" x14ac:dyDescent="0.2">
      <c r="B16" s="86" t="s">
        <v>248</v>
      </c>
      <c r="C16" s="86" t="s">
        <v>270</v>
      </c>
      <c r="D16" s="86">
        <v>328</v>
      </c>
      <c r="E16" s="86" t="s">
        <v>232</v>
      </c>
    </row>
    <row r="17" spans="2:27" x14ac:dyDescent="0.2">
      <c r="B17" s="86" t="s">
        <v>248</v>
      </c>
      <c r="C17" s="86" t="s">
        <v>271</v>
      </c>
      <c r="D17" s="86">
        <v>1</v>
      </c>
      <c r="E17" s="86" t="s">
        <v>232</v>
      </c>
    </row>
    <row r="18" spans="2:27" x14ac:dyDescent="0.2">
      <c r="B18" s="86" t="s">
        <v>248</v>
      </c>
      <c r="C18" s="86" t="s">
        <v>274</v>
      </c>
      <c r="D18" s="86">
        <v>716</v>
      </c>
      <c r="E18" s="86" t="s">
        <v>232</v>
      </c>
    </row>
    <row r="19" spans="2:27" x14ac:dyDescent="0.2">
      <c r="B19" s="86" t="s">
        <v>248</v>
      </c>
      <c r="C19" s="86" t="s">
        <v>277</v>
      </c>
      <c r="D19" s="86">
        <v>1300</v>
      </c>
      <c r="E19" s="86" t="s">
        <v>232</v>
      </c>
    </row>
    <row r="20" spans="2:27" x14ac:dyDescent="0.2">
      <c r="B20" s="86" t="s">
        <v>248</v>
      </c>
      <c r="C20" s="86" t="s">
        <v>278</v>
      </c>
      <c r="D20" s="86">
        <v>2</v>
      </c>
      <c r="E20" s="86" t="s">
        <v>232</v>
      </c>
    </row>
    <row r="21" spans="2:27" x14ac:dyDescent="0.2">
      <c r="B21" s="86" t="s">
        <v>248</v>
      </c>
      <c r="C21" s="86" t="s">
        <v>279</v>
      </c>
      <c r="D21" s="86">
        <v>1330</v>
      </c>
      <c r="E21" s="86" t="s">
        <v>232</v>
      </c>
    </row>
    <row r="22" spans="2:27" x14ac:dyDescent="0.2">
      <c r="B22" s="86" t="s">
        <v>248</v>
      </c>
      <c r="C22" s="86" t="s">
        <v>280</v>
      </c>
      <c r="D22" s="86">
        <v>76</v>
      </c>
      <c r="E22" s="86" t="s">
        <v>232</v>
      </c>
    </row>
    <row r="23" spans="2:27" x14ac:dyDescent="0.2">
      <c r="B23" s="86" t="s">
        <v>248</v>
      </c>
      <c r="C23" s="86" t="s">
        <v>281</v>
      </c>
      <c r="D23" s="86">
        <v>138</v>
      </c>
      <c r="E23" s="86" t="s">
        <v>232</v>
      </c>
    </row>
    <row r="24" spans="2:27" x14ac:dyDescent="0.2">
      <c r="B24" s="86" t="s">
        <v>248</v>
      </c>
      <c r="C24" s="86" t="s">
        <v>285</v>
      </c>
      <c r="D24" s="86">
        <v>116</v>
      </c>
      <c r="E24" s="86" t="s">
        <v>232</v>
      </c>
    </row>
    <row r="25" spans="2:27" x14ac:dyDescent="0.2">
      <c r="B25" s="86" t="s">
        <v>248</v>
      </c>
      <c r="C25" s="86" t="s">
        <v>287</v>
      </c>
      <c r="D25" s="86">
        <v>804</v>
      </c>
      <c r="E25" s="86" t="s">
        <v>232</v>
      </c>
    </row>
    <row r="26" spans="2:27" x14ac:dyDescent="0.2">
      <c r="B26" s="86" t="s">
        <v>248</v>
      </c>
      <c r="C26" s="86" t="s">
        <v>289</v>
      </c>
      <c r="D26" s="86">
        <v>2640</v>
      </c>
      <c r="E26" s="86" t="s">
        <v>232</v>
      </c>
    </row>
    <row r="27" spans="2:27" x14ac:dyDescent="0.2">
      <c r="B27" s="86" t="s">
        <v>248</v>
      </c>
      <c r="C27" s="86" t="s">
        <v>291</v>
      </c>
      <c r="D27" s="86">
        <v>290</v>
      </c>
      <c r="E27" s="86" t="s">
        <v>232</v>
      </c>
    </row>
    <row r="28" spans="2:27" x14ac:dyDescent="0.2">
      <c r="B28" s="86" t="s">
        <v>248</v>
      </c>
      <c r="C28" s="86" t="s">
        <v>293</v>
      </c>
      <c r="D28" s="86">
        <v>1</v>
      </c>
      <c r="E28" s="86" t="s">
        <v>232</v>
      </c>
      <c r="Z28" s="32"/>
      <c r="AA28" s="32"/>
    </row>
    <row r="29" spans="2:27" x14ac:dyDescent="0.2">
      <c r="B29" s="86" t="s">
        <v>248</v>
      </c>
      <c r="C29" s="86" t="s">
        <v>294</v>
      </c>
      <c r="D29" s="86">
        <v>144</v>
      </c>
      <c r="E29" s="86" t="s">
        <v>232</v>
      </c>
    </row>
    <row r="30" spans="2:27" x14ac:dyDescent="0.2">
      <c r="B30" s="86" t="s">
        <v>248</v>
      </c>
      <c r="C30" s="86" t="s">
        <v>295</v>
      </c>
      <c r="D30" s="86">
        <v>1</v>
      </c>
      <c r="E30" s="86" t="s">
        <v>232</v>
      </c>
    </row>
    <row r="31" spans="2:27" x14ac:dyDescent="0.2">
      <c r="B31" s="86" t="s">
        <v>248</v>
      </c>
      <c r="C31" s="86" t="s">
        <v>299</v>
      </c>
      <c r="D31" s="86">
        <v>2360</v>
      </c>
      <c r="E31" s="86" t="s">
        <v>232</v>
      </c>
    </row>
    <row r="32" spans="2:27" x14ac:dyDescent="0.2">
      <c r="B32" s="86" t="s">
        <v>248</v>
      </c>
      <c r="C32" s="86" t="s">
        <v>303</v>
      </c>
      <c r="D32" s="86">
        <v>3170</v>
      </c>
      <c r="E32" s="86" t="s">
        <v>232</v>
      </c>
    </row>
    <row r="33" spans="2:5" x14ac:dyDescent="0.2">
      <c r="B33" s="86" t="s">
        <v>248</v>
      </c>
      <c r="C33" s="86" t="s">
        <v>308</v>
      </c>
      <c r="D33" s="86">
        <v>4800</v>
      </c>
      <c r="E33" s="86" t="s">
        <v>232</v>
      </c>
    </row>
    <row r="34" spans="2:5" x14ac:dyDescent="0.2">
      <c r="B34" s="86" t="s">
        <v>248</v>
      </c>
      <c r="C34" s="86" t="s">
        <v>311</v>
      </c>
      <c r="D34" s="86">
        <v>1</v>
      </c>
      <c r="E34" s="86" t="s">
        <v>232</v>
      </c>
    </row>
    <row r="35" spans="2:5" x14ac:dyDescent="0.2">
      <c r="B35" s="86" t="s">
        <v>248</v>
      </c>
      <c r="C35" s="86" t="s">
        <v>312</v>
      </c>
      <c r="D35" s="86">
        <v>1</v>
      </c>
      <c r="E35" s="86" t="s">
        <v>232</v>
      </c>
    </row>
    <row r="36" spans="2:5" x14ac:dyDescent="0.2">
      <c r="B36" s="86" t="s">
        <v>248</v>
      </c>
      <c r="C36" s="86" t="s">
        <v>313</v>
      </c>
      <c r="D36" s="86">
        <v>235</v>
      </c>
      <c r="E36" s="86" t="s">
        <v>232</v>
      </c>
    </row>
    <row r="37" spans="2:5" x14ac:dyDescent="0.2">
      <c r="B37" s="86" t="s">
        <v>248</v>
      </c>
      <c r="C37" s="86" t="s">
        <v>315</v>
      </c>
      <c r="D37" s="86">
        <v>12400</v>
      </c>
      <c r="E37" s="86" t="s">
        <v>232</v>
      </c>
    </row>
    <row r="38" spans="2:5" x14ac:dyDescent="0.2">
      <c r="B38" s="86" t="s">
        <v>248</v>
      </c>
      <c r="C38" s="86" t="s">
        <v>318</v>
      </c>
      <c r="D38" s="86">
        <v>1</v>
      </c>
      <c r="E38" s="86" t="s">
        <v>232</v>
      </c>
    </row>
    <row r="39" spans="2:5" x14ac:dyDescent="0.2">
      <c r="B39" s="86" t="s">
        <v>248</v>
      </c>
      <c r="C39" s="86" t="s">
        <v>322</v>
      </c>
      <c r="D39" s="86">
        <v>1210</v>
      </c>
      <c r="E39" s="86" t="s">
        <v>232</v>
      </c>
    </row>
    <row r="40" spans="2:5" x14ac:dyDescent="0.2">
      <c r="B40" s="86" t="s">
        <v>248</v>
      </c>
      <c r="C40" s="86" t="s">
        <v>324</v>
      </c>
      <c r="D40" s="86">
        <v>8060</v>
      </c>
      <c r="E40" s="86" t="s">
        <v>232</v>
      </c>
    </row>
    <row r="41" spans="2:5" x14ac:dyDescent="0.2">
      <c r="B41" s="86" t="s">
        <v>248</v>
      </c>
      <c r="C41" s="86" t="s">
        <v>327</v>
      </c>
      <c r="D41" s="86">
        <v>4</v>
      </c>
      <c r="E41" s="86" t="s">
        <v>232</v>
      </c>
    </row>
    <row r="42" spans="2:5" x14ac:dyDescent="0.2">
      <c r="B42" s="86" t="s">
        <v>246</v>
      </c>
      <c r="C42" s="86" t="s">
        <v>247</v>
      </c>
      <c r="D42" s="86">
        <v>11698</v>
      </c>
      <c r="E42" s="86" t="s">
        <v>232</v>
      </c>
    </row>
    <row r="43" spans="2:5" x14ac:dyDescent="0.2">
      <c r="B43" s="86" t="s">
        <v>246</v>
      </c>
      <c r="C43" s="86" t="s">
        <v>250</v>
      </c>
      <c r="D43" s="86">
        <v>11607</v>
      </c>
      <c r="E43" s="86" t="s">
        <v>232</v>
      </c>
    </row>
    <row r="44" spans="2:5" x14ac:dyDescent="0.2">
      <c r="B44" s="86" t="s">
        <v>246</v>
      </c>
      <c r="C44" s="86" t="s">
        <v>251</v>
      </c>
      <c r="D44" s="86">
        <v>1902</v>
      </c>
      <c r="E44" s="86" t="s">
        <v>232</v>
      </c>
    </row>
    <row r="45" spans="2:5" x14ac:dyDescent="0.2">
      <c r="B45" s="86" t="s">
        <v>246</v>
      </c>
      <c r="C45" s="86" t="s">
        <v>254</v>
      </c>
      <c r="D45" s="86">
        <v>1754.21</v>
      </c>
      <c r="E45" s="86" t="s">
        <v>232</v>
      </c>
    </row>
    <row r="46" spans="2:5" x14ac:dyDescent="0.2">
      <c r="B46" s="86" t="s">
        <v>246</v>
      </c>
      <c r="C46" s="86" t="s">
        <v>256</v>
      </c>
      <c r="D46" s="86">
        <v>1273.49</v>
      </c>
      <c r="E46" s="86" t="s">
        <v>232</v>
      </c>
    </row>
    <row r="47" spans="2:5" x14ac:dyDescent="0.2">
      <c r="B47" s="86" t="s">
        <v>246</v>
      </c>
      <c r="C47" s="86" t="s">
        <v>259</v>
      </c>
      <c r="D47" s="86">
        <v>2289.5</v>
      </c>
      <c r="E47" s="86" t="s">
        <v>232</v>
      </c>
    </row>
    <row r="48" spans="2:5" x14ac:dyDescent="0.2">
      <c r="B48" s="86" t="s">
        <v>246</v>
      </c>
      <c r="C48" s="86" t="s">
        <v>263</v>
      </c>
      <c r="D48" s="86">
        <v>1945</v>
      </c>
      <c r="E48" s="86" t="s">
        <v>232</v>
      </c>
    </row>
    <row r="49" spans="2:5" x14ac:dyDescent="0.2">
      <c r="B49" s="86" t="s">
        <v>246</v>
      </c>
      <c r="C49" s="86" t="s">
        <v>265</v>
      </c>
      <c r="D49" s="86">
        <v>2687.9</v>
      </c>
      <c r="E49" s="86" t="s">
        <v>232</v>
      </c>
    </row>
    <row r="50" spans="2:5" x14ac:dyDescent="0.2">
      <c r="B50" s="86" t="s">
        <v>246</v>
      </c>
      <c r="C50" s="86" t="s">
        <v>266</v>
      </c>
      <c r="D50" s="86">
        <v>2546.6999999999998</v>
      </c>
      <c r="E50" s="86" t="s">
        <v>232</v>
      </c>
    </row>
    <row r="51" spans="2:5" x14ac:dyDescent="0.2">
      <c r="B51" s="86" t="s">
        <v>246</v>
      </c>
      <c r="C51" s="86" t="s">
        <v>267</v>
      </c>
      <c r="D51" s="86">
        <v>2473.17</v>
      </c>
      <c r="E51" s="86" t="s">
        <v>232</v>
      </c>
    </row>
    <row r="52" spans="2:5" x14ac:dyDescent="0.2">
      <c r="B52" s="86" t="s">
        <v>246</v>
      </c>
      <c r="C52" s="86" t="s">
        <v>268</v>
      </c>
      <c r="D52" s="86">
        <v>1424.75</v>
      </c>
      <c r="E52" s="86" t="s">
        <v>232</v>
      </c>
    </row>
    <row r="53" spans="2:5" x14ac:dyDescent="0.2">
      <c r="B53" s="86" t="s">
        <v>246</v>
      </c>
      <c r="C53" s="86" t="s">
        <v>269</v>
      </c>
      <c r="D53" s="86">
        <v>103.5</v>
      </c>
      <c r="E53" s="86" t="s">
        <v>232</v>
      </c>
    </row>
    <row r="54" spans="2:5" x14ac:dyDescent="0.2">
      <c r="B54" s="86" t="s">
        <v>246</v>
      </c>
      <c r="C54" s="86" t="s">
        <v>272</v>
      </c>
      <c r="D54" s="86">
        <v>2058.645</v>
      </c>
      <c r="E54" s="86" t="s">
        <v>232</v>
      </c>
    </row>
    <row r="55" spans="2:5" x14ac:dyDescent="0.2">
      <c r="B55" s="86" t="s">
        <v>246</v>
      </c>
      <c r="C55" s="86" t="s">
        <v>273</v>
      </c>
      <c r="D55" s="86">
        <v>2048.15</v>
      </c>
      <c r="E55" s="86" t="s">
        <v>232</v>
      </c>
    </row>
    <row r="56" spans="2:5" x14ac:dyDescent="0.2">
      <c r="B56" s="86" t="s">
        <v>246</v>
      </c>
      <c r="C56" s="86" t="s">
        <v>275</v>
      </c>
      <c r="D56" s="86">
        <v>4972.3999999999996</v>
      </c>
      <c r="E56" s="86" t="s">
        <v>232</v>
      </c>
    </row>
    <row r="57" spans="2:5" x14ac:dyDescent="0.2">
      <c r="B57" s="86" t="s">
        <v>246</v>
      </c>
      <c r="C57" s="86" t="s">
        <v>276</v>
      </c>
      <c r="D57" s="86">
        <v>2794.4</v>
      </c>
      <c r="E57" s="86" t="s">
        <v>232</v>
      </c>
    </row>
    <row r="58" spans="2:5" x14ac:dyDescent="0.2">
      <c r="B58" s="86" t="s">
        <v>246</v>
      </c>
      <c r="C58" s="86" t="s">
        <v>282</v>
      </c>
      <c r="D58" s="86">
        <v>1923.4</v>
      </c>
      <c r="E58" s="86" t="s">
        <v>232</v>
      </c>
    </row>
    <row r="59" spans="2:5" x14ac:dyDescent="0.2">
      <c r="B59" s="86" t="s">
        <v>246</v>
      </c>
      <c r="C59" s="86" t="s">
        <v>283</v>
      </c>
      <c r="D59" s="86">
        <v>3.45</v>
      </c>
      <c r="E59" s="86" t="s">
        <v>232</v>
      </c>
    </row>
    <row r="60" spans="2:5" x14ac:dyDescent="0.2">
      <c r="B60" s="86" t="s">
        <v>246</v>
      </c>
      <c r="C60" s="86" t="s">
        <v>284</v>
      </c>
      <c r="D60" s="86">
        <v>2429.9</v>
      </c>
      <c r="E60" s="86" t="s">
        <v>232</v>
      </c>
    </row>
    <row r="61" spans="2:5" x14ac:dyDescent="0.2">
      <c r="B61" s="86" t="s">
        <v>246</v>
      </c>
      <c r="C61" s="86" t="s">
        <v>286</v>
      </c>
      <c r="D61" s="86">
        <v>1945.07</v>
      </c>
      <c r="E61" s="86" t="s">
        <v>232</v>
      </c>
    </row>
    <row r="62" spans="2:5" x14ac:dyDescent="0.2">
      <c r="B62" s="86" t="s">
        <v>246</v>
      </c>
      <c r="C62" s="86" t="s">
        <v>288</v>
      </c>
      <c r="D62" s="86">
        <v>15.18</v>
      </c>
      <c r="E62" s="86" t="s">
        <v>232</v>
      </c>
    </row>
    <row r="63" spans="2:5" x14ac:dyDescent="0.2">
      <c r="B63" s="86" t="s">
        <v>246</v>
      </c>
      <c r="C63" s="86" t="s">
        <v>290</v>
      </c>
      <c r="D63" s="86">
        <v>36.155999999999999</v>
      </c>
      <c r="E63" s="86" t="s">
        <v>232</v>
      </c>
    </row>
    <row r="64" spans="2:5" x14ac:dyDescent="0.2">
      <c r="B64" s="86" t="s">
        <v>246</v>
      </c>
      <c r="C64" s="86" t="s">
        <v>292</v>
      </c>
      <c r="D64" s="86">
        <v>1144</v>
      </c>
      <c r="E64" s="86" t="s">
        <v>232</v>
      </c>
    </row>
    <row r="65" spans="2:5" x14ac:dyDescent="0.2">
      <c r="B65" s="86" t="s">
        <v>246</v>
      </c>
      <c r="C65" s="86" t="s">
        <v>296</v>
      </c>
      <c r="D65" s="86">
        <v>2.0699999999999998</v>
      </c>
      <c r="E65" s="86" t="s">
        <v>232</v>
      </c>
    </row>
    <row r="66" spans="2:5" x14ac:dyDescent="0.2">
      <c r="B66" s="86" t="s">
        <v>246</v>
      </c>
      <c r="C66" s="86" t="s">
        <v>297</v>
      </c>
      <c r="D66" s="86">
        <v>1487.05</v>
      </c>
      <c r="E66" s="86" t="s">
        <v>232</v>
      </c>
    </row>
    <row r="67" spans="2:5" x14ac:dyDescent="0.2">
      <c r="B67" s="86" t="s">
        <v>246</v>
      </c>
      <c r="C67" s="86" t="s">
        <v>298</v>
      </c>
      <c r="D67" s="86">
        <v>2384.6</v>
      </c>
      <c r="E67" s="86" t="s">
        <v>232</v>
      </c>
    </row>
    <row r="68" spans="2:5" x14ac:dyDescent="0.2">
      <c r="B68" s="86" t="s">
        <v>246</v>
      </c>
      <c r="C68" s="86" t="s">
        <v>300</v>
      </c>
      <c r="D68" s="86">
        <v>2024.05</v>
      </c>
      <c r="E68" s="86" t="s">
        <v>232</v>
      </c>
    </row>
    <row r="69" spans="2:5" x14ac:dyDescent="0.2">
      <c r="B69" s="86" t="s">
        <v>246</v>
      </c>
      <c r="C69" s="86" t="s">
        <v>301</v>
      </c>
      <c r="D69" s="86">
        <v>767</v>
      </c>
      <c r="E69" s="86" t="s">
        <v>232</v>
      </c>
    </row>
    <row r="70" spans="2:5" x14ac:dyDescent="0.2">
      <c r="B70" s="86" t="s">
        <v>246</v>
      </c>
      <c r="C70" s="86" t="s">
        <v>302</v>
      </c>
      <c r="D70" s="86">
        <v>1923.5</v>
      </c>
      <c r="E70" s="86" t="s">
        <v>232</v>
      </c>
    </row>
    <row r="71" spans="2:5" x14ac:dyDescent="0.2">
      <c r="B71" s="86" t="s">
        <v>246</v>
      </c>
      <c r="C71" s="86" t="s">
        <v>304</v>
      </c>
      <c r="D71" s="86">
        <v>24.84</v>
      </c>
      <c r="E71" s="86" t="s">
        <v>232</v>
      </c>
    </row>
    <row r="72" spans="2:5" x14ac:dyDescent="0.2">
      <c r="B72" s="86" t="s">
        <v>246</v>
      </c>
      <c r="C72" s="86" t="s">
        <v>305</v>
      </c>
      <c r="D72" s="86">
        <v>3942.8</v>
      </c>
      <c r="E72" s="86" t="s">
        <v>232</v>
      </c>
    </row>
    <row r="73" spans="2:5" x14ac:dyDescent="0.2">
      <c r="B73" s="86" t="s">
        <v>246</v>
      </c>
      <c r="C73" s="86" t="s">
        <v>306</v>
      </c>
      <c r="D73" s="86">
        <v>2889.5</v>
      </c>
      <c r="E73" s="86" t="s">
        <v>232</v>
      </c>
    </row>
    <row r="74" spans="2:5" x14ac:dyDescent="0.2">
      <c r="B74" s="86" t="s">
        <v>246</v>
      </c>
      <c r="C74" s="86" t="s">
        <v>307</v>
      </c>
      <c r="D74" s="86">
        <v>1281.854</v>
      </c>
      <c r="E74" s="86" t="s">
        <v>232</v>
      </c>
    </row>
    <row r="75" spans="2:5" x14ac:dyDescent="0.2">
      <c r="B75" s="86" t="s">
        <v>246</v>
      </c>
      <c r="C75" s="86" t="s">
        <v>309</v>
      </c>
      <c r="D75" s="86">
        <v>2127.2199999999998</v>
      </c>
      <c r="E75" s="86" t="s">
        <v>232</v>
      </c>
    </row>
    <row r="76" spans="2:5" x14ac:dyDescent="0.2">
      <c r="B76" s="86" t="s">
        <v>246</v>
      </c>
      <c r="C76" s="86" t="s">
        <v>310</v>
      </c>
      <c r="D76" s="86">
        <v>1624.21</v>
      </c>
      <c r="E76" s="86" t="s">
        <v>232</v>
      </c>
    </row>
    <row r="77" spans="2:5" x14ac:dyDescent="0.2">
      <c r="B77" s="86" t="s">
        <v>246</v>
      </c>
      <c r="C77" s="86" t="s">
        <v>314</v>
      </c>
      <c r="D77" s="86">
        <v>4.1399999999999997</v>
      </c>
      <c r="E77" s="86" t="s">
        <v>232</v>
      </c>
    </row>
    <row r="78" spans="2:5" x14ac:dyDescent="0.2">
      <c r="B78" s="86" t="s">
        <v>246</v>
      </c>
      <c r="C78" s="86" t="s">
        <v>316</v>
      </c>
      <c r="D78" s="86">
        <v>15.18</v>
      </c>
      <c r="E78" s="86" t="s">
        <v>232</v>
      </c>
    </row>
    <row r="79" spans="2:5" x14ac:dyDescent="0.2">
      <c r="B79" s="86" t="s">
        <v>246</v>
      </c>
      <c r="C79" s="86" t="s">
        <v>317</v>
      </c>
      <c r="D79" s="86">
        <v>17.940000000000001</v>
      </c>
      <c r="E79" s="86" t="s">
        <v>232</v>
      </c>
    </row>
    <row r="80" spans="2:5" x14ac:dyDescent="0.2">
      <c r="B80" s="86" t="s">
        <v>246</v>
      </c>
      <c r="C80" s="86" t="s">
        <v>319</v>
      </c>
      <c r="D80" s="86">
        <v>20.7</v>
      </c>
      <c r="E80" s="86" t="s">
        <v>232</v>
      </c>
    </row>
    <row r="81" spans="2:5" x14ac:dyDescent="0.2">
      <c r="B81" s="86" t="s">
        <v>246</v>
      </c>
      <c r="C81" s="86" t="s">
        <v>320</v>
      </c>
      <c r="D81" s="86">
        <v>2847.17</v>
      </c>
      <c r="E81" s="86" t="s">
        <v>232</v>
      </c>
    </row>
    <row r="82" spans="2:5" x14ac:dyDescent="0.2">
      <c r="B82" s="86" t="s">
        <v>246</v>
      </c>
      <c r="C82" s="86" t="s">
        <v>321</v>
      </c>
      <c r="D82" s="86">
        <v>4064.16</v>
      </c>
      <c r="E82" s="86" t="s">
        <v>232</v>
      </c>
    </row>
    <row r="83" spans="2:5" x14ac:dyDescent="0.2">
      <c r="B83" s="86" t="s">
        <v>246</v>
      </c>
      <c r="C83" s="86" t="s">
        <v>323</v>
      </c>
      <c r="D83" s="86">
        <v>1204.5999999999999</v>
      </c>
      <c r="E83" s="86" t="s">
        <v>232</v>
      </c>
    </row>
    <row r="84" spans="2:5" x14ac:dyDescent="0.2">
      <c r="B84" s="86" t="s">
        <v>246</v>
      </c>
      <c r="C84" s="86" t="s">
        <v>325</v>
      </c>
      <c r="D84" s="86">
        <v>3985</v>
      </c>
      <c r="E84" s="86" t="s">
        <v>232</v>
      </c>
    </row>
    <row r="85" spans="2:5" x14ac:dyDescent="0.2">
      <c r="B85" s="86" t="s">
        <v>246</v>
      </c>
      <c r="C85" s="86" t="s">
        <v>326</v>
      </c>
      <c r="D85" s="86">
        <v>1674.1</v>
      </c>
      <c r="E85" s="86" t="s">
        <v>232</v>
      </c>
    </row>
    <row r="86" spans="2:5" x14ac:dyDescent="0.2">
      <c r="B86" s="86" t="s">
        <v>246</v>
      </c>
      <c r="C86" s="86" t="s">
        <v>328</v>
      </c>
      <c r="D86" s="86">
        <v>326.31400000000002</v>
      </c>
      <c r="E86" s="86" t="s">
        <v>232</v>
      </c>
    </row>
    <row r="91" spans="2:5" x14ac:dyDescent="0.2">
      <c r="B91" s="33" t="s">
        <v>330</v>
      </c>
    </row>
    <row r="92" spans="2:5" x14ac:dyDescent="0.2">
      <c r="B92" t="s">
        <v>331</v>
      </c>
    </row>
    <row r="93" spans="2:5" x14ac:dyDescent="0.2">
      <c r="B93" t="s">
        <v>332</v>
      </c>
    </row>
    <row r="94" spans="2:5" x14ac:dyDescent="0.2">
      <c r="B94" s="33" t="s">
        <v>343</v>
      </c>
    </row>
    <row r="95" spans="2:5" x14ac:dyDescent="0.2">
      <c r="B95" t="s">
        <v>339</v>
      </c>
    </row>
    <row r="96" spans="2:5" x14ac:dyDescent="0.2">
      <c r="B96" t="s">
        <v>333</v>
      </c>
    </row>
    <row r="98" spans="2:2" x14ac:dyDescent="0.2">
      <c r="B98" t="s">
        <v>334</v>
      </c>
    </row>
    <row r="99" spans="2:2" x14ac:dyDescent="0.2">
      <c r="B99" t="s">
        <v>335</v>
      </c>
    </row>
    <row r="100" spans="2:2" x14ac:dyDescent="0.2">
      <c r="B100" t="s">
        <v>336</v>
      </c>
    </row>
    <row r="101" spans="2:2" x14ac:dyDescent="0.2">
      <c r="B101" s="33" t="s">
        <v>342</v>
      </c>
    </row>
    <row r="102" spans="2:2" x14ac:dyDescent="0.2">
      <c r="B102" t="s">
        <v>340</v>
      </c>
    </row>
    <row r="103" spans="2:2" x14ac:dyDescent="0.2">
      <c r="B103" t="s">
        <v>341</v>
      </c>
    </row>
    <row r="105" spans="2:2" x14ac:dyDescent="0.2">
      <c r="B105" t="s">
        <v>337</v>
      </c>
    </row>
    <row r="106" spans="2:2" x14ac:dyDescent="0.2">
      <c r="B106" t="s">
        <v>338</v>
      </c>
    </row>
    <row r="107" spans="2:2" x14ac:dyDescent="0.2">
      <c r="B107" s="32" t="s">
        <v>344</v>
      </c>
    </row>
    <row r="111" spans="2:2" x14ac:dyDescent="0.2">
      <c r="B111" s="32" t="s">
        <v>346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C424-FE39-0643-AFE2-AFF008BE7729}">
  <sheetPr>
    <tabColor theme="8" tint="-0.499984740745262"/>
  </sheetPr>
  <dimension ref="B6:L48"/>
  <sheetViews>
    <sheetView workbookViewId="0">
      <selection activeCell="L7" sqref="L7"/>
    </sheetView>
  </sheetViews>
  <sheetFormatPr baseColWidth="10" defaultColWidth="11.3984375" defaultRowHeight="14" x14ac:dyDescent="0.2"/>
  <cols>
    <col min="2" max="2" width="19.59765625" bestFit="1" customWidth="1"/>
    <col min="3" max="3" width="14.3984375" bestFit="1" customWidth="1"/>
    <col min="4" max="4" width="16.796875" bestFit="1" customWidth="1"/>
    <col min="5" max="5" width="29.19921875" bestFit="1" customWidth="1"/>
    <col min="6" max="6" width="13.59765625" bestFit="1" customWidth="1"/>
    <col min="7" max="7" width="14.59765625" bestFit="1" customWidth="1"/>
    <col min="8" max="8" width="29.19921875" bestFit="1" customWidth="1"/>
    <col min="9" max="9" width="27" bestFit="1" customWidth="1"/>
    <col min="10" max="10" width="39.59765625" bestFit="1" customWidth="1"/>
    <col min="11" max="11" width="28.59765625" bestFit="1" customWidth="1"/>
    <col min="12" max="12" width="39.59765625" bestFit="1" customWidth="1"/>
  </cols>
  <sheetData>
    <row r="6" spans="2:12" x14ac:dyDescent="0.2">
      <c r="B6" s="115" t="s">
        <v>2</v>
      </c>
      <c r="C6" s="109" t="s">
        <v>242</v>
      </c>
      <c r="D6" s="109" t="s">
        <v>237</v>
      </c>
      <c r="E6" s="109" t="s">
        <v>362</v>
      </c>
      <c r="F6" s="109" t="s">
        <v>355</v>
      </c>
      <c r="G6" s="108" t="s">
        <v>238</v>
      </c>
      <c r="H6" s="109" t="s">
        <v>361</v>
      </c>
      <c r="I6" s="109" t="s">
        <v>374</v>
      </c>
      <c r="J6" s="109" t="s">
        <v>372</v>
      </c>
      <c r="K6" s="109" t="s">
        <v>373</v>
      </c>
      <c r="L6" s="109" t="s">
        <v>375</v>
      </c>
    </row>
    <row r="7" spans="2:12" x14ac:dyDescent="0.2">
      <c r="B7" s="110">
        <v>2010</v>
      </c>
      <c r="C7" s="100"/>
      <c r="D7" s="99"/>
      <c r="E7" s="94"/>
      <c r="F7" s="100"/>
      <c r="G7" s="94"/>
      <c r="H7" s="94"/>
      <c r="I7" s="94">
        <f>D7+G7</f>
        <v>0</v>
      </c>
      <c r="J7" s="94">
        <f>E7+H7</f>
        <v>0</v>
      </c>
      <c r="K7" s="94" t="e">
        <f>J7/I7</f>
        <v>#DIV/0!</v>
      </c>
      <c r="L7" s="94">
        <f>G7+J7</f>
        <v>0</v>
      </c>
    </row>
    <row r="8" spans="2:12" x14ac:dyDescent="0.2">
      <c r="B8" s="110">
        <v>2011</v>
      </c>
      <c r="C8" s="100"/>
      <c r="D8" s="99"/>
      <c r="E8" s="94"/>
      <c r="F8" s="100"/>
      <c r="G8" s="94"/>
      <c r="H8" s="94"/>
      <c r="I8" s="94">
        <f t="shared" ref="I8:I48" si="0">D8+G8</f>
        <v>0</v>
      </c>
      <c r="J8" s="94">
        <f t="shared" ref="J8:L48" si="1">E8+H8</f>
        <v>0</v>
      </c>
      <c r="K8" s="94" t="e">
        <f t="shared" ref="K8:K48" si="2">J8/I8</f>
        <v>#DIV/0!</v>
      </c>
      <c r="L8" s="94">
        <f t="shared" si="1"/>
        <v>0</v>
      </c>
    </row>
    <row r="9" spans="2:12" x14ac:dyDescent="0.2">
      <c r="B9" s="110">
        <v>2012</v>
      </c>
      <c r="C9" s="100"/>
      <c r="D9" s="99"/>
      <c r="E9" s="94"/>
      <c r="F9" s="100"/>
      <c r="G9" s="94"/>
      <c r="H9" s="94"/>
      <c r="I9" s="94">
        <f t="shared" si="0"/>
        <v>0</v>
      </c>
      <c r="J9" s="94">
        <f t="shared" si="1"/>
        <v>0</v>
      </c>
      <c r="K9" s="94" t="e">
        <f t="shared" si="2"/>
        <v>#DIV/0!</v>
      </c>
      <c r="L9" s="94">
        <f t="shared" si="1"/>
        <v>0</v>
      </c>
    </row>
    <row r="10" spans="2:12" x14ac:dyDescent="0.2">
      <c r="B10" s="110">
        <v>2013</v>
      </c>
      <c r="C10" s="100"/>
      <c r="D10" s="99"/>
      <c r="E10" s="94"/>
      <c r="F10" s="100"/>
      <c r="G10" s="94"/>
      <c r="H10" s="94"/>
      <c r="I10" s="94">
        <f t="shared" si="0"/>
        <v>0</v>
      </c>
      <c r="J10" s="94">
        <f t="shared" si="1"/>
        <v>0</v>
      </c>
      <c r="K10" s="94" t="e">
        <f t="shared" si="2"/>
        <v>#DIV/0!</v>
      </c>
      <c r="L10" s="94">
        <f t="shared" si="1"/>
        <v>0</v>
      </c>
    </row>
    <row r="11" spans="2:12" x14ac:dyDescent="0.2">
      <c r="B11" s="110">
        <v>2014</v>
      </c>
      <c r="C11" s="100"/>
      <c r="D11" s="99"/>
      <c r="E11" s="94"/>
      <c r="F11" s="100"/>
      <c r="G11" s="94"/>
      <c r="H11" s="94"/>
      <c r="I11" s="94">
        <f t="shared" si="0"/>
        <v>0</v>
      </c>
      <c r="J11" s="94">
        <f t="shared" si="1"/>
        <v>0</v>
      </c>
      <c r="K11" s="94" t="e">
        <f t="shared" si="2"/>
        <v>#DIV/0!</v>
      </c>
      <c r="L11" s="94">
        <f t="shared" si="1"/>
        <v>0</v>
      </c>
    </row>
    <row r="12" spans="2:12" x14ac:dyDescent="0.2">
      <c r="B12" s="110">
        <v>2015</v>
      </c>
      <c r="C12" s="100"/>
      <c r="D12" s="99"/>
      <c r="E12" s="94"/>
      <c r="F12" s="100"/>
      <c r="G12" s="94"/>
      <c r="H12" s="94"/>
      <c r="I12" s="94">
        <f t="shared" si="0"/>
        <v>0</v>
      </c>
      <c r="J12" s="94">
        <f t="shared" si="1"/>
        <v>0</v>
      </c>
      <c r="K12" s="94" t="e">
        <f t="shared" si="2"/>
        <v>#DIV/0!</v>
      </c>
      <c r="L12" s="94">
        <f t="shared" si="1"/>
        <v>0</v>
      </c>
    </row>
    <row r="13" spans="2:12" x14ac:dyDescent="0.2">
      <c r="B13" s="110">
        <v>2016</v>
      </c>
      <c r="C13" s="100"/>
      <c r="D13" s="99"/>
      <c r="E13" s="94"/>
      <c r="F13" s="100"/>
      <c r="G13" s="94"/>
      <c r="H13" s="94"/>
      <c r="I13" s="94">
        <f t="shared" si="0"/>
        <v>0</v>
      </c>
      <c r="J13" s="94">
        <f t="shared" si="1"/>
        <v>0</v>
      </c>
      <c r="K13" s="94" t="e">
        <f t="shared" si="2"/>
        <v>#DIV/0!</v>
      </c>
      <c r="L13" s="94">
        <f t="shared" si="1"/>
        <v>0</v>
      </c>
    </row>
    <row r="14" spans="2:12" x14ac:dyDescent="0.2">
      <c r="B14" s="110">
        <v>2017</v>
      </c>
      <c r="C14" s="100"/>
      <c r="D14" s="99"/>
      <c r="E14" s="94"/>
      <c r="F14" s="100"/>
      <c r="G14" s="94"/>
      <c r="H14" s="94"/>
      <c r="I14" s="94">
        <f t="shared" si="0"/>
        <v>0</v>
      </c>
      <c r="J14" s="94">
        <f t="shared" si="1"/>
        <v>0</v>
      </c>
      <c r="K14" s="94" t="e">
        <f t="shared" si="2"/>
        <v>#DIV/0!</v>
      </c>
      <c r="L14" s="94">
        <f t="shared" si="1"/>
        <v>0</v>
      </c>
    </row>
    <row r="15" spans="2:12" x14ac:dyDescent="0.2">
      <c r="B15" s="110">
        <v>2018</v>
      </c>
      <c r="C15" s="100"/>
      <c r="D15" s="99"/>
      <c r="E15" s="94"/>
      <c r="F15" s="100"/>
      <c r="G15" s="94"/>
      <c r="H15" s="94"/>
      <c r="I15" s="94">
        <f t="shared" si="0"/>
        <v>0</v>
      </c>
      <c r="J15" s="94">
        <f t="shared" si="1"/>
        <v>0</v>
      </c>
      <c r="K15" s="94" t="e">
        <f t="shared" si="2"/>
        <v>#DIV/0!</v>
      </c>
      <c r="L15" s="94">
        <f t="shared" si="1"/>
        <v>0</v>
      </c>
    </row>
    <row r="16" spans="2:12" x14ac:dyDescent="0.2">
      <c r="B16" s="110">
        <v>2019</v>
      </c>
      <c r="C16" s="100"/>
      <c r="D16" s="99"/>
      <c r="E16" s="94"/>
      <c r="F16" s="100"/>
      <c r="G16" s="94"/>
      <c r="H16" s="94"/>
      <c r="I16" s="94">
        <f t="shared" si="0"/>
        <v>0</v>
      </c>
      <c r="J16" s="94">
        <f t="shared" si="1"/>
        <v>0</v>
      </c>
      <c r="K16" s="94" t="e">
        <f t="shared" si="2"/>
        <v>#DIV/0!</v>
      </c>
      <c r="L16" s="94">
        <f t="shared" si="1"/>
        <v>0</v>
      </c>
    </row>
    <row r="17" spans="2:12" x14ac:dyDescent="0.2">
      <c r="B17" s="110">
        <v>2020</v>
      </c>
      <c r="C17" s="100"/>
      <c r="D17" s="99"/>
      <c r="E17" s="94"/>
      <c r="F17" s="100"/>
      <c r="G17" s="94"/>
      <c r="H17" s="94"/>
      <c r="I17" s="94">
        <f t="shared" si="0"/>
        <v>0</v>
      </c>
      <c r="J17" s="94">
        <f t="shared" si="1"/>
        <v>0</v>
      </c>
      <c r="K17" s="94" t="e">
        <f t="shared" si="2"/>
        <v>#DIV/0!</v>
      </c>
      <c r="L17" s="94">
        <f t="shared" si="1"/>
        <v>0</v>
      </c>
    </row>
    <row r="18" spans="2:12" x14ac:dyDescent="0.2">
      <c r="B18" s="110">
        <v>2021</v>
      </c>
      <c r="C18" s="100"/>
      <c r="D18" s="99"/>
      <c r="E18" s="94"/>
      <c r="F18" s="100"/>
      <c r="G18" s="94"/>
      <c r="H18" s="94"/>
      <c r="I18" s="94">
        <f t="shared" si="0"/>
        <v>0</v>
      </c>
      <c r="J18" s="94">
        <f t="shared" si="1"/>
        <v>0</v>
      </c>
      <c r="K18" s="94" t="e">
        <f t="shared" si="2"/>
        <v>#DIV/0!</v>
      </c>
      <c r="L18" s="94">
        <f t="shared" si="1"/>
        <v>0</v>
      </c>
    </row>
    <row r="19" spans="2:12" x14ac:dyDescent="0.2">
      <c r="B19" s="110">
        <v>2022</v>
      </c>
      <c r="C19" s="100"/>
      <c r="D19" s="99"/>
      <c r="E19" s="94"/>
      <c r="F19" s="100"/>
      <c r="G19" s="94"/>
      <c r="H19" s="94"/>
      <c r="I19" s="94">
        <f t="shared" si="0"/>
        <v>0</v>
      </c>
      <c r="J19" s="94">
        <f t="shared" si="1"/>
        <v>0</v>
      </c>
      <c r="K19" s="94" t="e">
        <f t="shared" si="2"/>
        <v>#DIV/0!</v>
      </c>
      <c r="L19" s="94">
        <f t="shared" si="1"/>
        <v>0</v>
      </c>
    </row>
    <row r="20" spans="2:12" x14ac:dyDescent="0.2">
      <c r="B20" s="110">
        <v>2023</v>
      </c>
      <c r="C20" s="100"/>
      <c r="D20" s="99"/>
      <c r="E20" s="94"/>
      <c r="F20" s="100"/>
      <c r="G20" s="94"/>
      <c r="H20" s="94"/>
      <c r="I20" s="94">
        <f t="shared" si="0"/>
        <v>0</v>
      </c>
      <c r="J20" s="94">
        <f t="shared" si="1"/>
        <v>0</v>
      </c>
      <c r="K20" s="94" t="e">
        <f t="shared" si="2"/>
        <v>#DIV/0!</v>
      </c>
      <c r="L20" s="94">
        <f t="shared" si="1"/>
        <v>0</v>
      </c>
    </row>
    <row r="21" spans="2:12" x14ac:dyDescent="0.2">
      <c r="B21" s="110">
        <v>2024</v>
      </c>
      <c r="C21" s="100"/>
      <c r="D21" s="99"/>
      <c r="E21" s="94"/>
      <c r="F21" s="111"/>
      <c r="G21" s="112"/>
      <c r="H21" s="94"/>
      <c r="I21" s="94">
        <f t="shared" si="0"/>
        <v>0</v>
      </c>
      <c r="J21" s="94">
        <f t="shared" si="1"/>
        <v>0</v>
      </c>
      <c r="K21" s="94" t="e">
        <f t="shared" si="2"/>
        <v>#DIV/0!</v>
      </c>
      <c r="L21" s="94">
        <f t="shared" si="1"/>
        <v>0</v>
      </c>
    </row>
    <row r="22" spans="2:12" x14ac:dyDescent="0.2">
      <c r="B22" s="110">
        <v>2025</v>
      </c>
      <c r="C22" s="110"/>
      <c r="D22" s="110"/>
      <c r="E22" s="112"/>
      <c r="F22" s="111"/>
      <c r="G22" s="113"/>
      <c r="H22" s="112"/>
      <c r="I22" s="94">
        <f t="shared" si="0"/>
        <v>0</v>
      </c>
      <c r="J22" s="94">
        <f t="shared" si="1"/>
        <v>0</v>
      </c>
      <c r="K22" s="94" t="e">
        <f t="shared" si="2"/>
        <v>#DIV/0!</v>
      </c>
      <c r="L22" s="94">
        <f t="shared" si="1"/>
        <v>0</v>
      </c>
    </row>
    <row r="23" spans="2:12" x14ac:dyDescent="0.2">
      <c r="B23" s="110">
        <v>2026</v>
      </c>
      <c r="C23" s="110"/>
      <c r="D23" s="110"/>
      <c r="E23" s="112"/>
      <c r="F23" s="111"/>
      <c r="G23" s="113"/>
      <c r="H23" s="112"/>
      <c r="I23" s="94">
        <f t="shared" si="0"/>
        <v>0</v>
      </c>
      <c r="J23" s="94">
        <f t="shared" si="1"/>
        <v>0</v>
      </c>
      <c r="K23" s="94" t="e">
        <f t="shared" si="2"/>
        <v>#DIV/0!</v>
      </c>
      <c r="L23" s="94">
        <f t="shared" si="1"/>
        <v>0</v>
      </c>
    </row>
    <row r="24" spans="2:12" x14ac:dyDescent="0.2">
      <c r="B24" s="110">
        <v>2027</v>
      </c>
      <c r="C24" s="110"/>
      <c r="D24" s="110"/>
      <c r="E24" s="112"/>
      <c r="F24" s="111"/>
      <c r="G24" s="113"/>
      <c r="H24" s="112"/>
      <c r="I24" s="94">
        <f t="shared" si="0"/>
        <v>0</v>
      </c>
      <c r="J24" s="94">
        <f t="shared" si="1"/>
        <v>0</v>
      </c>
      <c r="K24" s="94" t="e">
        <f t="shared" si="2"/>
        <v>#DIV/0!</v>
      </c>
      <c r="L24" s="94">
        <f t="shared" si="1"/>
        <v>0</v>
      </c>
    </row>
    <row r="25" spans="2:12" x14ac:dyDescent="0.2">
      <c r="B25" s="110">
        <v>2028</v>
      </c>
      <c r="C25" s="110"/>
      <c r="D25" s="110"/>
      <c r="E25" s="112"/>
      <c r="F25" s="111"/>
      <c r="G25" s="113"/>
      <c r="H25" s="112"/>
      <c r="I25" s="94">
        <f t="shared" si="0"/>
        <v>0</v>
      </c>
      <c r="J25" s="94">
        <f t="shared" si="1"/>
        <v>0</v>
      </c>
      <c r="K25" s="94" t="e">
        <f t="shared" si="2"/>
        <v>#DIV/0!</v>
      </c>
      <c r="L25" s="94">
        <f t="shared" si="1"/>
        <v>0</v>
      </c>
    </row>
    <row r="26" spans="2:12" x14ac:dyDescent="0.2">
      <c r="B26" s="110">
        <v>2029</v>
      </c>
      <c r="C26" s="110"/>
      <c r="D26" s="110"/>
      <c r="E26" s="112"/>
      <c r="F26" s="111"/>
      <c r="G26" s="113"/>
      <c r="H26" s="112"/>
      <c r="I26" s="94">
        <f t="shared" si="0"/>
        <v>0</v>
      </c>
      <c r="J26" s="94">
        <f t="shared" si="1"/>
        <v>0</v>
      </c>
      <c r="K26" s="94" t="e">
        <f t="shared" si="2"/>
        <v>#DIV/0!</v>
      </c>
      <c r="L26" s="94">
        <f t="shared" si="1"/>
        <v>0</v>
      </c>
    </row>
    <row r="27" spans="2:12" x14ac:dyDescent="0.2">
      <c r="B27" s="110">
        <v>2030</v>
      </c>
      <c r="C27" s="110"/>
      <c r="D27" s="110"/>
      <c r="E27" s="112"/>
      <c r="F27" s="111"/>
      <c r="G27" s="113"/>
      <c r="H27" s="112"/>
      <c r="I27" s="94">
        <f t="shared" si="0"/>
        <v>0</v>
      </c>
      <c r="J27" s="94">
        <f t="shared" si="1"/>
        <v>0</v>
      </c>
      <c r="K27" s="94" t="e">
        <f t="shared" si="2"/>
        <v>#DIV/0!</v>
      </c>
      <c r="L27" s="94">
        <f t="shared" si="1"/>
        <v>0</v>
      </c>
    </row>
    <row r="28" spans="2:12" x14ac:dyDescent="0.2">
      <c r="B28" s="110">
        <v>2031</v>
      </c>
      <c r="C28" s="110"/>
      <c r="D28" s="110"/>
      <c r="E28" s="112"/>
      <c r="F28" s="111"/>
      <c r="G28" s="113"/>
      <c r="H28" s="112"/>
      <c r="I28" s="94">
        <f t="shared" si="0"/>
        <v>0</v>
      </c>
      <c r="J28" s="94">
        <f t="shared" si="1"/>
        <v>0</v>
      </c>
      <c r="K28" s="94" t="e">
        <f t="shared" si="2"/>
        <v>#DIV/0!</v>
      </c>
      <c r="L28" s="94">
        <f t="shared" si="1"/>
        <v>0</v>
      </c>
    </row>
    <row r="29" spans="2:12" x14ac:dyDescent="0.2">
      <c r="B29" s="110">
        <v>2032</v>
      </c>
      <c r="C29" s="110"/>
      <c r="D29" s="110"/>
      <c r="E29" s="112"/>
      <c r="F29" s="111"/>
      <c r="G29" s="113"/>
      <c r="H29" s="112"/>
      <c r="I29" s="94">
        <f t="shared" si="0"/>
        <v>0</v>
      </c>
      <c r="J29" s="94">
        <f t="shared" si="1"/>
        <v>0</v>
      </c>
      <c r="K29" s="94" t="e">
        <f t="shared" si="2"/>
        <v>#DIV/0!</v>
      </c>
      <c r="L29" s="94">
        <f t="shared" si="1"/>
        <v>0</v>
      </c>
    </row>
    <row r="30" spans="2:12" x14ac:dyDescent="0.2">
      <c r="B30" s="110">
        <v>2033</v>
      </c>
      <c r="C30" s="110"/>
      <c r="D30" s="110"/>
      <c r="E30" s="112"/>
      <c r="F30" s="111"/>
      <c r="G30" s="113"/>
      <c r="H30" s="112"/>
      <c r="I30" s="94">
        <f t="shared" si="0"/>
        <v>0</v>
      </c>
      <c r="J30" s="94">
        <f t="shared" si="1"/>
        <v>0</v>
      </c>
      <c r="K30" s="94" t="e">
        <f t="shared" si="2"/>
        <v>#DIV/0!</v>
      </c>
      <c r="L30" s="94">
        <f t="shared" si="1"/>
        <v>0</v>
      </c>
    </row>
    <row r="31" spans="2:12" x14ac:dyDescent="0.2">
      <c r="B31" s="110">
        <v>2034</v>
      </c>
      <c r="C31" s="110"/>
      <c r="D31" s="110"/>
      <c r="E31" s="112"/>
      <c r="F31" s="111"/>
      <c r="G31" s="113"/>
      <c r="H31" s="112"/>
      <c r="I31" s="94">
        <f t="shared" si="0"/>
        <v>0</v>
      </c>
      <c r="J31" s="94">
        <f t="shared" si="1"/>
        <v>0</v>
      </c>
      <c r="K31" s="94" t="e">
        <f t="shared" si="2"/>
        <v>#DIV/0!</v>
      </c>
      <c r="L31" s="94">
        <f t="shared" si="1"/>
        <v>0</v>
      </c>
    </row>
    <row r="32" spans="2:12" x14ac:dyDescent="0.2">
      <c r="B32" s="110">
        <v>2035</v>
      </c>
      <c r="C32" s="110"/>
      <c r="D32" s="110"/>
      <c r="E32" s="112"/>
      <c r="F32" s="111"/>
      <c r="G32" s="113"/>
      <c r="H32" s="112"/>
      <c r="I32" s="94">
        <f t="shared" si="0"/>
        <v>0</v>
      </c>
      <c r="J32" s="94">
        <f t="shared" si="1"/>
        <v>0</v>
      </c>
      <c r="K32" s="94" t="e">
        <f t="shared" si="2"/>
        <v>#DIV/0!</v>
      </c>
      <c r="L32" s="94">
        <f t="shared" si="1"/>
        <v>0</v>
      </c>
    </row>
    <row r="33" spans="2:12" x14ac:dyDescent="0.2">
      <c r="B33" s="110">
        <v>2036</v>
      </c>
      <c r="C33" s="110"/>
      <c r="D33" s="110"/>
      <c r="E33" s="112"/>
      <c r="F33" s="111"/>
      <c r="G33" s="113"/>
      <c r="H33" s="112"/>
      <c r="I33" s="94">
        <f t="shared" si="0"/>
        <v>0</v>
      </c>
      <c r="J33" s="94">
        <f t="shared" si="1"/>
        <v>0</v>
      </c>
      <c r="K33" s="94" t="e">
        <f t="shared" si="2"/>
        <v>#DIV/0!</v>
      </c>
      <c r="L33" s="94">
        <f t="shared" si="1"/>
        <v>0</v>
      </c>
    </row>
    <row r="34" spans="2:12" x14ac:dyDescent="0.2">
      <c r="B34" s="110">
        <v>2037</v>
      </c>
      <c r="C34" s="110"/>
      <c r="D34" s="110"/>
      <c r="E34" s="112"/>
      <c r="F34" s="111"/>
      <c r="G34" s="113"/>
      <c r="H34" s="112"/>
      <c r="I34" s="94">
        <f t="shared" si="0"/>
        <v>0</v>
      </c>
      <c r="J34" s="94">
        <f t="shared" si="1"/>
        <v>0</v>
      </c>
      <c r="K34" s="94" t="e">
        <f t="shared" si="2"/>
        <v>#DIV/0!</v>
      </c>
      <c r="L34" s="94">
        <f t="shared" si="1"/>
        <v>0</v>
      </c>
    </row>
    <row r="35" spans="2:12" x14ac:dyDescent="0.2">
      <c r="B35" s="110">
        <v>2038</v>
      </c>
      <c r="C35" s="110"/>
      <c r="D35" s="110"/>
      <c r="E35" s="112"/>
      <c r="F35" s="111"/>
      <c r="G35" s="113"/>
      <c r="H35" s="112"/>
      <c r="I35" s="94">
        <f t="shared" si="0"/>
        <v>0</v>
      </c>
      <c r="J35" s="94">
        <f t="shared" si="1"/>
        <v>0</v>
      </c>
      <c r="K35" s="94" t="e">
        <f t="shared" si="2"/>
        <v>#DIV/0!</v>
      </c>
      <c r="L35" s="94">
        <f t="shared" si="1"/>
        <v>0</v>
      </c>
    </row>
    <row r="36" spans="2:12" x14ac:dyDescent="0.2">
      <c r="B36" s="110">
        <v>2039</v>
      </c>
      <c r="C36" s="110"/>
      <c r="D36" s="110"/>
      <c r="E36" s="112"/>
      <c r="F36" s="111"/>
      <c r="G36" s="113"/>
      <c r="H36" s="112"/>
      <c r="I36" s="94">
        <f t="shared" si="0"/>
        <v>0</v>
      </c>
      <c r="J36" s="94">
        <f t="shared" si="1"/>
        <v>0</v>
      </c>
      <c r="K36" s="94" t="e">
        <f t="shared" si="2"/>
        <v>#DIV/0!</v>
      </c>
      <c r="L36" s="94">
        <f t="shared" si="1"/>
        <v>0</v>
      </c>
    </row>
    <row r="37" spans="2:12" x14ac:dyDescent="0.2">
      <c r="B37" s="110">
        <v>2040</v>
      </c>
      <c r="C37" s="110"/>
      <c r="D37" s="110"/>
      <c r="E37" s="112"/>
      <c r="F37" s="111"/>
      <c r="G37" s="113"/>
      <c r="H37" s="112"/>
      <c r="I37" s="94">
        <f t="shared" si="0"/>
        <v>0</v>
      </c>
      <c r="J37" s="94">
        <f t="shared" si="1"/>
        <v>0</v>
      </c>
      <c r="K37" s="94" t="e">
        <f t="shared" si="2"/>
        <v>#DIV/0!</v>
      </c>
      <c r="L37" s="94">
        <f t="shared" si="1"/>
        <v>0</v>
      </c>
    </row>
    <row r="38" spans="2:12" x14ac:dyDescent="0.2">
      <c r="B38" s="110">
        <v>2041</v>
      </c>
      <c r="C38" s="110"/>
      <c r="D38" s="110"/>
      <c r="E38" s="112"/>
      <c r="F38" s="111"/>
      <c r="G38" s="113"/>
      <c r="H38" s="112"/>
      <c r="I38" s="94">
        <f t="shared" si="0"/>
        <v>0</v>
      </c>
      <c r="J38" s="94">
        <f t="shared" si="1"/>
        <v>0</v>
      </c>
      <c r="K38" s="94" t="e">
        <f t="shared" si="2"/>
        <v>#DIV/0!</v>
      </c>
      <c r="L38" s="94">
        <f t="shared" si="1"/>
        <v>0</v>
      </c>
    </row>
    <row r="39" spans="2:12" x14ac:dyDescent="0.2">
      <c r="B39" s="110">
        <v>2042</v>
      </c>
      <c r="C39" s="110"/>
      <c r="D39" s="110"/>
      <c r="E39" s="112"/>
      <c r="F39" s="111"/>
      <c r="G39" s="113"/>
      <c r="H39" s="112"/>
      <c r="I39" s="94">
        <f t="shared" si="0"/>
        <v>0</v>
      </c>
      <c r="J39" s="94">
        <f t="shared" si="1"/>
        <v>0</v>
      </c>
      <c r="K39" s="94" t="e">
        <f t="shared" si="2"/>
        <v>#DIV/0!</v>
      </c>
      <c r="L39" s="94">
        <f t="shared" si="1"/>
        <v>0</v>
      </c>
    </row>
    <row r="40" spans="2:12" x14ac:dyDescent="0.2">
      <c r="B40" s="110">
        <v>2043</v>
      </c>
      <c r="C40" s="110"/>
      <c r="D40" s="110"/>
      <c r="E40" s="112"/>
      <c r="F40" s="111"/>
      <c r="G40" s="113"/>
      <c r="H40" s="112"/>
      <c r="I40" s="94">
        <f t="shared" si="0"/>
        <v>0</v>
      </c>
      <c r="J40" s="94">
        <f t="shared" si="1"/>
        <v>0</v>
      </c>
      <c r="K40" s="94" t="e">
        <f t="shared" si="2"/>
        <v>#DIV/0!</v>
      </c>
      <c r="L40" s="94">
        <f t="shared" si="1"/>
        <v>0</v>
      </c>
    </row>
    <row r="41" spans="2:12" x14ac:dyDescent="0.2">
      <c r="B41" s="110">
        <v>2044</v>
      </c>
      <c r="C41" s="110"/>
      <c r="D41" s="110"/>
      <c r="E41" s="112"/>
      <c r="F41" s="111"/>
      <c r="G41" s="113"/>
      <c r="H41" s="112"/>
      <c r="I41" s="94">
        <f t="shared" si="0"/>
        <v>0</v>
      </c>
      <c r="J41" s="94">
        <f t="shared" si="1"/>
        <v>0</v>
      </c>
      <c r="K41" s="94" t="e">
        <f t="shared" si="2"/>
        <v>#DIV/0!</v>
      </c>
      <c r="L41" s="94">
        <f t="shared" si="1"/>
        <v>0</v>
      </c>
    </row>
    <row r="42" spans="2:12" x14ac:dyDescent="0.2">
      <c r="B42" s="110">
        <v>2045</v>
      </c>
      <c r="C42" s="110"/>
      <c r="D42" s="110"/>
      <c r="E42" s="112"/>
      <c r="F42" s="111"/>
      <c r="G42" s="113"/>
      <c r="H42" s="112"/>
      <c r="I42" s="94">
        <f t="shared" si="0"/>
        <v>0</v>
      </c>
      <c r="J42" s="94">
        <f t="shared" si="1"/>
        <v>0</v>
      </c>
      <c r="K42" s="94" t="e">
        <f t="shared" si="2"/>
        <v>#DIV/0!</v>
      </c>
      <c r="L42" s="94">
        <f t="shared" si="1"/>
        <v>0</v>
      </c>
    </row>
    <row r="43" spans="2:12" x14ac:dyDescent="0.2">
      <c r="B43" s="110">
        <v>2046</v>
      </c>
      <c r="C43" s="110"/>
      <c r="D43" s="110"/>
      <c r="E43" s="112"/>
      <c r="F43" s="111"/>
      <c r="G43" s="113"/>
      <c r="H43" s="112"/>
      <c r="I43" s="94">
        <f t="shared" si="0"/>
        <v>0</v>
      </c>
      <c r="J43" s="94">
        <f t="shared" si="1"/>
        <v>0</v>
      </c>
      <c r="K43" s="94" t="e">
        <f t="shared" si="2"/>
        <v>#DIV/0!</v>
      </c>
      <c r="L43" s="94">
        <f t="shared" si="1"/>
        <v>0</v>
      </c>
    </row>
    <row r="44" spans="2:12" x14ac:dyDescent="0.2">
      <c r="B44" s="110">
        <v>2047</v>
      </c>
      <c r="C44" s="110"/>
      <c r="D44" s="110"/>
      <c r="E44" s="112"/>
      <c r="F44" s="111"/>
      <c r="G44" s="113"/>
      <c r="H44" s="112"/>
      <c r="I44" s="94">
        <f t="shared" si="0"/>
        <v>0</v>
      </c>
      <c r="J44" s="94">
        <f t="shared" si="1"/>
        <v>0</v>
      </c>
      <c r="K44" s="94" t="e">
        <f t="shared" si="2"/>
        <v>#DIV/0!</v>
      </c>
      <c r="L44" s="94">
        <f t="shared" si="1"/>
        <v>0</v>
      </c>
    </row>
    <row r="45" spans="2:12" x14ac:dyDescent="0.2">
      <c r="B45" s="110">
        <v>2048</v>
      </c>
      <c r="C45" s="110"/>
      <c r="D45" s="110"/>
      <c r="E45" s="112"/>
      <c r="F45" s="111"/>
      <c r="G45" s="113"/>
      <c r="H45" s="112"/>
      <c r="I45" s="94">
        <f t="shared" si="0"/>
        <v>0</v>
      </c>
      <c r="J45" s="94">
        <f t="shared" si="1"/>
        <v>0</v>
      </c>
      <c r="K45" s="94" t="e">
        <f t="shared" si="2"/>
        <v>#DIV/0!</v>
      </c>
      <c r="L45" s="94">
        <f t="shared" si="1"/>
        <v>0</v>
      </c>
    </row>
    <row r="46" spans="2:12" x14ac:dyDescent="0.2">
      <c r="B46" s="110">
        <v>2049</v>
      </c>
      <c r="C46" s="110"/>
      <c r="D46" s="110"/>
      <c r="E46" s="112"/>
      <c r="F46" s="111"/>
      <c r="G46" s="113"/>
      <c r="H46" s="112"/>
      <c r="I46" s="94">
        <f t="shared" si="0"/>
        <v>0</v>
      </c>
      <c r="J46" s="94">
        <f t="shared" si="1"/>
        <v>0</v>
      </c>
      <c r="K46" s="94" t="e">
        <f t="shared" si="2"/>
        <v>#DIV/0!</v>
      </c>
      <c r="L46" s="94">
        <f t="shared" si="1"/>
        <v>0</v>
      </c>
    </row>
    <row r="47" spans="2:12" x14ac:dyDescent="0.2">
      <c r="B47" s="110">
        <v>2050</v>
      </c>
      <c r="C47" s="110"/>
      <c r="D47" s="110"/>
      <c r="E47" s="112"/>
      <c r="F47" s="111"/>
      <c r="G47" s="113"/>
      <c r="H47" s="112"/>
      <c r="I47" s="94">
        <f t="shared" si="0"/>
        <v>0</v>
      </c>
      <c r="J47" s="94">
        <f t="shared" si="1"/>
        <v>0</v>
      </c>
      <c r="K47" s="94" t="e">
        <f t="shared" si="2"/>
        <v>#DIV/0!</v>
      </c>
      <c r="L47" s="94">
        <f t="shared" si="1"/>
        <v>0</v>
      </c>
    </row>
    <row r="48" spans="2:12" x14ac:dyDescent="0.2">
      <c r="B48" s="110" t="s">
        <v>240</v>
      </c>
      <c r="C48" s="110"/>
      <c r="D48" s="114"/>
      <c r="E48" s="94"/>
      <c r="F48" s="111"/>
      <c r="G48" s="113"/>
      <c r="H48" s="94"/>
      <c r="I48" s="94">
        <f t="shared" si="0"/>
        <v>0</v>
      </c>
      <c r="J48" s="94">
        <f t="shared" si="1"/>
        <v>0</v>
      </c>
      <c r="K48" s="94" t="e">
        <f t="shared" si="2"/>
        <v>#DIV/0!</v>
      </c>
      <c r="L48" s="94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9B5C-8BA6-6B49-B11D-B30F2505F60E}">
  <sheetPr>
    <tabColor theme="8" tint="-0.499984740745262"/>
  </sheetPr>
  <dimension ref="B2:R81"/>
  <sheetViews>
    <sheetView topLeftCell="E1" zoomScale="140" zoomScaleNormal="80" workbookViewId="0">
      <selection activeCell="L7" sqref="L7"/>
    </sheetView>
  </sheetViews>
  <sheetFormatPr baseColWidth="10" defaultColWidth="11.3984375" defaultRowHeight="14" x14ac:dyDescent="0.2"/>
  <cols>
    <col min="2" max="2" width="7.3984375" customWidth="1"/>
    <col min="3" max="3" width="16.796875" customWidth="1"/>
    <col min="4" max="4" width="19.796875" bestFit="1" customWidth="1"/>
    <col min="5" max="5" width="19.796875" customWidth="1"/>
    <col min="6" max="6" width="19.59765625" bestFit="1" customWidth="1"/>
    <col min="7" max="7" width="18.19921875" bestFit="1" customWidth="1"/>
    <col min="8" max="8" width="18.19921875" customWidth="1"/>
    <col min="9" max="9" width="45.796875" bestFit="1" customWidth="1"/>
    <col min="10" max="10" width="42.59765625" customWidth="1"/>
    <col min="11" max="11" width="23" bestFit="1" customWidth="1"/>
    <col min="12" max="12" width="38.59765625" bestFit="1" customWidth="1"/>
    <col min="13" max="13" width="33.796875" bestFit="1" customWidth="1"/>
    <col min="14" max="14" width="41.796875" bestFit="1" customWidth="1"/>
    <col min="15" max="15" width="42.59765625" bestFit="1" customWidth="1"/>
  </cols>
  <sheetData>
    <row r="2" spans="2:18" x14ac:dyDescent="0.2">
      <c r="C2" t="s">
        <v>351</v>
      </c>
    </row>
    <row r="3" spans="2:18" x14ac:dyDescent="0.2">
      <c r="C3" s="32"/>
    </row>
    <row r="4" spans="2:18" x14ac:dyDescent="0.2">
      <c r="C4" s="32" t="s">
        <v>352</v>
      </c>
    </row>
    <row r="7" spans="2:18" x14ac:dyDescent="0.2">
      <c r="B7" s="32" t="s">
        <v>244</v>
      </c>
      <c r="C7" s="32"/>
      <c r="D7" s="32"/>
      <c r="E7" s="87" t="s">
        <v>350</v>
      </c>
      <c r="F7" s="32"/>
      <c r="G7" s="32"/>
      <c r="H7" s="32"/>
      <c r="I7" s="32"/>
      <c r="J7" s="32"/>
      <c r="K7" s="32"/>
      <c r="L7" s="32"/>
      <c r="M7" s="32"/>
      <c r="N7" s="32"/>
    </row>
    <row r="8" spans="2:18" x14ac:dyDescent="0.2">
      <c r="B8" s="32"/>
      <c r="C8" s="32"/>
      <c r="D8" s="32"/>
      <c r="E8" s="95" t="s">
        <v>363</v>
      </c>
      <c r="F8" s="32"/>
      <c r="G8" s="32"/>
      <c r="H8" s="32"/>
      <c r="I8" s="32"/>
      <c r="J8" s="32"/>
      <c r="K8" s="32"/>
      <c r="L8" s="32"/>
      <c r="M8" s="32"/>
      <c r="N8" s="32"/>
    </row>
    <row r="9" spans="2:18" x14ac:dyDescent="0.2">
      <c r="B9" s="32"/>
      <c r="C9" s="143" t="s">
        <v>356</v>
      </c>
      <c r="D9" s="143"/>
      <c r="E9" s="88"/>
      <c r="F9" s="144" t="s">
        <v>173</v>
      </c>
      <c r="G9" s="144"/>
      <c r="H9" s="144"/>
      <c r="I9" s="143" t="s">
        <v>357</v>
      </c>
      <c r="J9" s="143"/>
      <c r="K9" s="32"/>
      <c r="L9" s="32"/>
      <c r="M9" s="32"/>
      <c r="N9" s="32"/>
    </row>
    <row r="10" spans="2:18" x14ac:dyDescent="0.2">
      <c r="B10" s="33" t="s">
        <v>2</v>
      </c>
      <c r="C10" s="90" t="s">
        <v>242</v>
      </c>
      <c r="D10" s="90" t="s">
        <v>237</v>
      </c>
      <c r="E10" s="90" t="s">
        <v>362</v>
      </c>
      <c r="F10" s="90" t="s">
        <v>355</v>
      </c>
      <c r="G10" s="33" t="s">
        <v>238</v>
      </c>
      <c r="H10" s="33" t="s">
        <v>361</v>
      </c>
      <c r="I10" s="33" t="s">
        <v>360</v>
      </c>
      <c r="J10" s="33" t="s">
        <v>348</v>
      </c>
      <c r="K10" s="33" t="s">
        <v>239</v>
      </c>
      <c r="L10" s="33" t="s">
        <v>241</v>
      </c>
      <c r="M10" s="33" t="s">
        <v>349</v>
      </c>
      <c r="N10" s="33" t="s">
        <v>243</v>
      </c>
      <c r="O10" s="33" t="s">
        <v>347</v>
      </c>
    </row>
    <row r="11" spans="2:18" x14ac:dyDescent="0.2">
      <c r="B11" s="32">
        <v>2010</v>
      </c>
      <c r="C11" s="100">
        <v>302056.7</v>
      </c>
      <c r="D11" s="99">
        <v>83.904638888888897</v>
      </c>
      <c r="E11" s="94">
        <f>Table29[[#This Row],[Gas supply (TWh)]]*M11</f>
        <v>186268.29833333334</v>
      </c>
      <c r="F11" s="100">
        <v>735566</v>
      </c>
      <c r="G11" s="94">
        <f t="shared" ref="G11:G51" si="0">F11*277.8*10^-6</f>
        <v>204.34023479999999</v>
      </c>
      <c r="H11" s="92">
        <f>Table29[[#This Row],[Oil supply (TWh)]]*M11</f>
        <v>453635.32125599997</v>
      </c>
      <c r="I11" s="32">
        <v>26.7</v>
      </c>
      <c r="J11" s="97">
        <v>15.84765737711</v>
      </c>
      <c r="K11" s="98">
        <f>(Table29[[#This Row],[Upstream fugitive CH4 emissions from oil and gas (1000 tonnes)]]*10^3)/(G11+D11)</f>
        <v>92.62957449442132</v>
      </c>
      <c r="L11" s="87">
        <v>2.2200000000000002E-3</v>
      </c>
      <c r="M11">
        <f>L11*10^6</f>
        <v>2220</v>
      </c>
      <c r="N11" s="87">
        <v>123.26509243955</v>
      </c>
      <c r="O11" s="87">
        <v>4.41E-2</v>
      </c>
    </row>
    <row r="12" spans="2:18" x14ac:dyDescent="0.2">
      <c r="B12" s="32">
        <v>2011</v>
      </c>
      <c r="C12" s="100">
        <v>305083.7</v>
      </c>
      <c r="D12" s="99">
        <v>84.745472222222219</v>
      </c>
      <c r="E12" s="94">
        <f>Table29[[#This Row],[Gas supply (TWh)]]*M12</f>
        <v>193219.67666666667</v>
      </c>
      <c r="F12" s="100">
        <v>586680</v>
      </c>
      <c r="G12" s="94">
        <f>F12*277.8*10^-6</f>
        <v>162.979704</v>
      </c>
      <c r="H12" s="92">
        <f>Table29[[#This Row],[Oil supply (TWh)]]*M12</f>
        <v>371593.72512000002</v>
      </c>
      <c r="I12" s="32">
        <v>35.4</v>
      </c>
      <c r="J12" s="97">
        <v>16.66151927664</v>
      </c>
      <c r="K12" s="98">
        <f>(Table29[[#This Row],[Upstream fugitive CH4 emissions from oil and gas (1000 tonnes)]]*10^3)/(G12+D12)</f>
        <v>142.90029192771419</v>
      </c>
      <c r="L12" s="87">
        <v>2.2799999999999999E-3</v>
      </c>
      <c r="M12">
        <f t="shared" ref="M12:M52" si="1">L12*10^6</f>
        <v>2280</v>
      </c>
      <c r="N12" s="87">
        <v>125.0174664458</v>
      </c>
      <c r="O12" s="87">
        <v>4.5600000000000002E-2</v>
      </c>
    </row>
    <row r="13" spans="2:18" x14ac:dyDescent="0.2">
      <c r="B13" s="32">
        <v>2012</v>
      </c>
      <c r="C13" s="100">
        <v>330824.2</v>
      </c>
      <c r="D13" s="99">
        <v>91.895611111111108</v>
      </c>
      <c r="E13" s="94">
        <f>Table29[[#This Row],[Gas supply (TWh)]]*M13</f>
        <v>200332.43222222221</v>
      </c>
      <c r="F13" s="100">
        <v>740687</v>
      </c>
      <c r="G13" s="94">
        <f t="shared" si="0"/>
        <v>205.76284859999998</v>
      </c>
      <c r="H13" s="92">
        <f>Table29[[#This Row],[Oil supply (TWh)]]*M13</f>
        <v>448563.00994799996</v>
      </c>
      <c r="I13" s="32">
        <v>36.200000000000003</v>
      </c>
      <c r="J13" s="97">
        <v>16.811099125999998</v>
      </c>
      <c r="K13" s="98">
        <f>(Table29[[#This Row],[Upstream fugitive CH4 emissions from oil and gas (1000 tonnes)]]*10^3)/(G13+D13)</f>
        <v>121.61589506017562</v>
      </c>
      <c r="L13" s="87">
        <v>2.1800000000000001E-3</v>
      </c>
      <c r="M13">
        <f t="shared" si="1"/>
        <v>2180</v>
      </c>
      <c r="N13" s="87">
        <v>126.25274818631</v>
      </c>
      <c r="O13" s="87">
        <v>4.7199999999999999E-2</v>
      </c>
    </row>
    <row r="14" spans="2:18" x14ac:dyDescent="0.2">
      <c r="B14" s="32">
        <v>2013</v>
      </c>
      <c r="C14" s="100">
        <v>372461.9</v>
      </c>
      <c r="D14" s="99">
        <v>103.4616388888889</v>
      </c>
      <c r="E14" s="94">
        <f>Table29[[#This Row],[Gas supply (TWh)]]*M14</f>
        <v>225546.37277777781</v>
      </c>
      <c r="F14" s="100">
        <v>817646</v>
      </c>
      <c r="G14" s="94">
        <f>F14*277.8*10^-6</f>
        <v>227.1420588</v>
      </c>
      <c r="H14" s="92">
        <f>Table29[[#This Row],[Oil supply (TWh)]]*M14</f>
        <v>495169.68818400003</v>
      </c>
      <c r="I14" s="32">
        <v>32.14</v>
      </c>
      <c r="J14" s="97">
        <v>15.650584823000001</v>
      </c>
      <c r="K14" s="98">
        <f>(Table29[[#This Row],[Upstream fugitive CH4 emissions from oil and gas (1000 tonnes)]]*10^3)/(G14+D14)</f>
        <v>97.216093542441271</v>
      </c>
      <c r="L14" s="87">
        <v>2.1800000000000001E-3</v>
      </c>
      <c r="M14">
        <f t="shared" si="1"/>
        <v>2180</v>
      </c>
      <c r="N14" s="87">
        <v>146.44052960406</v>
      </c>
      <c r="O14" s="87">
        <v>5.2400000000000002E-2</v>
      </c>
    </row>
    <row r="15" spans="2:18" x14ac:dyDescent="0.2">
      <c r="B15" s="32">
        <v>2014</v>
      </c>
      <c r="C15" s="100">
        <v>390609.7</v>
      </c>
      <c r="D15" s="99">
        <v>108.50269444444444</v>
      </c>
      <c r="E15" s="94">
        <f>Table29[[#This Row],[Gas supply (TWh)]]*M15</f>
        <v>238705.92777777778</v>
      </c>
      <c r="F15" s="100">
        <v>744676</v>
      </c>
      <c r="G15" s="94">
        <f t="shared" si="0"/>
        <v>206.87099280000001</v>
      </c>
      <c r="H15" s="92">
        <f>Table29[[#This Row],[Oil supply (TWh)]]*M15</f>
        <v>455116.18416</v>
      </c>
      <c r="I15" s="32">
        <v>14.18</v>
      </c>
      <c r="J15" s="97">
        <v>14.522239771000001</v>
      </c>
      <c r="K15" s="98">
        <f>(Table29[[#This Row],[Upstream fugitive CH4 emissions from oil and gas (1000 tonnes)]]*10^3)/(G15+D15)</f>
        <v>44.962533570561192</v>
      </c>
      <c r="L15" s="87">
        <v>2.2000000000000001E-3</v>
      </c>
      <c r="M15">
        <f t="shared" si="1"/>
        <v>2200</v>
      </c>
      <c r="N15" s="87">
        <v>152.44632536422</v>
      </c>
      <c r="O15" s="87">
        <v>5.4699999999999999E-2</v>
      </c>
    </row>
    <row r="16" spans="2:18" x14ac:dyDescent="0.2">
      <c r="B16" s="32">
        <v>2015</v>
      </c>
      <c r="C16" s="100">
        <v>397532.5</v>
      </c>
      <c r="D16" s="99">
        <v>110.42569444444445</v>
      </c>
      <c r="E16" s="94">
        <f>Table29[[#This Row],[Gas supply (TWh)]]*M16</f>
        <v>239623.75694444444</v>
      </c>
      <c r="F16" s="100">
        <v>811498</v>
      </c>
      <c r="G16" s="94">
        <f t="shared" si="0"/>
        <v>225.43414440000001</v>
      </c>
      <c r="H16" s="92">
        <f>Table29[[#This Row],[Oil supply (TWh)]]*M16</f>
        <v>489192.09334800002</v>
      </c>
      <c r="I16" s="32">
        <v>14.24</v>
      </c>
      <c r="J16" s="97">
        <v>15.10896269</v>
      </c>
      <c r="K16" s="98">
        <f>(Table29[[#This Row],[Upstream fugitive CH4 emissions from oil and gas (1000 tonnes)]]*10^3)/(G16+D16)</f>
        <v>42.398638816102526</v>
      </c>
      <c r="L16" s="87">
        <v>2.1700000000000001E-3</v>
      </c>
      <c r="M16">
        <f t="shared" si="1"/>
        <v>2170</v>
      </c>
      <c r="N16" s="87">
        <v>158.74874524947001</v>
      </c>
      <c r="O16" s="87">
        <v>5.45E-2</v>
      </c>
      <c r="R16" s="32"/>
    </row>
    <row r="17" spans="2:15" x14ac:dyDescent="0.2">
      <c r="B17" s="32">
        <v>2016</v>
      </c>
      <c r="C17" s="100">
        <v>407463.6</v>
      </c>
      <c r="D17" s="99">
        <v>113.18433333333333</v>
      </c>
      <c r="E17" s="94">
        <f>Table29[[#This Row],[Gas supply (TWh)]]*M17</f>
        <v>244478.15999999997</v>
      </c>
      <c r="F17" s="100">
        <v>863905</v>
      </c>
      <c r="G17" s="94">
        <f t="shared" si="0"/>
        <v>239.99280899999999</v>
      </c>
      <c r="H17" s="92">
        <f>Table29[[#This Row],[Oil supply (TWh)]]*M17</f>
        <v>518384.46743999998</v>
      </c>
      <c r="I17" s="32">
        <v>18.920000000000002</v>
      </c>
      <c r="J17" s="97">
        <v>15.481980270999999</v>
      </c>
      <c r="K17" s="98">
        <f>(Table29[[#This Row],[Upstream fugitive CH4 emissions from oil and gas (1000 tonnes)]]*10^3)/(G17+D17)</f>
        <v>53.570850805919513</v>
      </c>
      <c r="L17" s="87">
        <v>2.16E-3</v>
      </c>
      <c r="M17">
        <f t="shared" si="1"/>
        <v>2160</v>
      </c>
      <c r="N17" s="87">
        <v>150.85843565453999</v>
      </c>
      <c r="O17" s="87">
        <v>5.7099999999999998E-2</v>
      </c>
    </row>
    <row r="18" spans="2:15" x14ac:dyDescent="0.2">
      <c r="B18" s="32">
        <v>2017</v>
      </c>
      <c r="C18" s="100">
        <v>409714.1</v>
      </c>
      <c r="D18" s="99">
        <v>113.80947222222221</v>
      </c>
      <c r="E18" s="94">
        <f>Table29[[#This Row],[Gas supply (TWh)]]*M18</f>
        <v>225342.75499999998</v>
      </c>
      <c r="F18" s="100">
        <v>926115</v>
      </c>
      <c r="G18" s="94">
        <f t="shared" si="0"/>
        <v>257.27474699999999</v>
      </c>
      <c r="H18" s="92">
        <f>Table29[[#This Row],[Oil supply (TWh)]]*M18</f>
        <v>509403.99906</v>
      </c>
      <c r="I18" s="32">
        <v>22.79</v>
      </c>
      <c r="J18" s="97">
        <v>16.493212802767999</v>
      </c>
      <c r="K18" s="98">
        <f>(Table29[[#This Row],[Upstream fugitive CH4 emissions from oil and gas (1000 tonnes)]]*10^3)/(G18+D18)</f>
        <v>61.414629939712704</v>
      </c>
      <c r="L18" s="87">
        <v>1.98E-3</v>
      </c>
      <c r="M18">
        <f t="shared" si="1"/>
        <v>1980</v>
      </c>
      <c r="N18" s="87">
        <v>166.15276613994999</v>
      </c>
      <c r="O18" s="87">
        <v>5.7200000000000001E-2</v>
      </c>
    </row>
    <row r="19" spans="2:15" x14ac:dyDescent="0.2">
      <c r="B19" s="32">
        <v>2018</v>
      </c>
      <c r="C19" s="100">
        <v>418417.7</v>
      </c>
      <c r="D19" s="99">
        <v>116.22713888888889</v>
      </c>
      <c r="E19" s="94">
        <f>Table29[[#This Row],[Gas supply (TWh)]]*M19</f>
        <v>247563.80583333332</v>
      </c>
      <c r="F19" s="100">
        <v>918433</v>
      </c>
      <c r="G19" s="94">
        <f t="shared" si="0"/>
        <v>255.14068739999999</v>
      </c>
      <c r="H19" s="92">
        <f>Table29[[#This Row],[Oil supply (TWh)]]*M19</f>
        <v>543449.66416199994</v>
      </c>
      <c r="I19" s="32">
        <v>26.2</v>
      </c>
      <c r="J19" s="97">
        <v>16.334353818537</v>
      </c>
      <c r="K19" s="98">
        <f>(Table29[[#This Row],[Upstream fugitive CH4 emissions from oil and gas (1000 tonnes)]]*10^3)/(G19+D19)</f>
        <v>70.549999610410225</v>
      </c>
      <c r="L19" s="87">
        <v>2.1299999999999999E-3</v>
      </c>
      <c r="M19">
        <f t="shared" si="1"/>
        <v>2130</v>
      </c>
      <c r="N19" s="87">
        <v>165.85596252465999</v>
      </c>
      <c r="O19" s="87">
        <v>5.6000000000000001E-2</v>
      </c>
    </row>
    <row r="20" spans="2:15" x14ac:dyDescent="0.2">
      <c r="B20" s="32">
        <v>2019</v>
      </c>
      <c r="C20" s="100">
        <v>424642.1</v>
      </c>
      <c r="D20" s="99">
        <v>117.95613888888889</v>
      </c>
      <c r="E20" s="94">
        <f>Table29[[#This Row],[Gas supply (TWh)]]*M20</f>
        <v>250067.01444444444</v>
      </c>
      <c r="F20" s="100">
        <v>898047</v>
      </c>
      <c r="G20" s="94">
        <f t="shared" si="0"/>
        <v>249.47745660000001</v>
      </c>
      <c r="H20" s="92">
        <f>Table29[[#This Row],[Oil supply (TWh)]]*M20</f>
        <v>528892.20799200004</v>
      </c>
      <c r="I20" s="32">
        <v>36.450000000000003</v>
      </c>
      <c r="J20" s="97">
        <v>15.453570851303001</v>
      </c>
      <c r="K20" s="98">
        <f>(Table29[[#This Row],[Upstream fugitive CH4 emissions from oil and gas (1000 tonnes)]]*10^3)/(G20+D20)</f>
        <v>99.201598458903689</v>
      </c>
      <c r="L20" s="87">
        <v>2.1199999999999999E-3</v>
      </c>
      <c r="M20">
        <f t="shared" si="1"/>
        <v>2120</v>
      </c>
      <c r="N20" s="87">
        <v>171.00021374882999</v>
      </c>
      <c r="O20" s="87">
        <v>5.7700000000000001E-2</v>
      </c>
    </row>
    <row r="21" spans="2:15" x14ac:dyDescent="0.2">
      <c r="B21" s="32">
        <v>2020</v>
      </c>
      <c r="C21" s="102">
        <v>429250.3</v>
      </c>
      <c r="D21" s="97">
        <v>119.23619444444444</v>
      </c>
      <c r="E21" s="105">
        <f>Table29[[#This Row],[Gas supply (TWh)]]*M21</f>
        <v>252780.7322222222</v>
      </c>
      <c r="F21" s="102">
        <v>885817</v>
      </c>
      <c r="G21" s="105">
        <f t="shared" si="0"/>
        <v>246.07996260000002</v>
      </c>
      <c r="H21" s="92">
        <f>Table29[[#This Row],[Oil supply (TWh)]]*M21</f>
        <v>521689.52071200003</v>
      </c>
      <c r="I21" s="32">
        <v>39.53</v>
      </c>
      <c r="J21" s="97">
        <v>13.248838144722001</v>
      </c>
      <c r="K21" s="98">
        <f>(Table29[[#This Row],[Upstream fugitive CH4 emissions from oil and gas (1000 tonnes)]]*10^3)/(G21+D21)</f>
        <v>108.20764216894673</v>
      </c>
      <c r="L21" s="87">
        <v>2.1199999999999999E-3</v>
      </c>
      <c r="M21">
        <f t="shared" si="1"/>
        <v>2120</v>
      </c>
      <c r="N21" s="87">
        <v>162.91603396731</v>
      </c>
      <c r="O21" s="87">
        <v>5.7099999999999998E-2</v>
      </c>
    </row>
    <row r="22" spans="2:15" x14ac:dyDescent="0.2">
      <c r="B22" s="32">
        <v>2021</v>
      </c>
      <c r="C22" s="102">
        <v>445730.3</v>
      </c>
      <c r="D22" s="97">
        <v>123.81397222222222</v>
      </c>
      <c r="E22" s="105">
        <f>Table29[[#This Row],[Gas supply (TWh)]]*M22</f>
        <v>262485.62111111113</v>
      </c>
      <c r="F22" s="102">
        <v>913908</v>
      </c>
      <c r="G22" s="105">
        <f t="shared" si="0"/>
        <v>253.88364239999999</v>
      </c>
      <c r="H22" s="92">
        <f>Table29[[#This Row],[Oil supply (TWh)]]*M22</f>
        <v>538233.32188800001</v>
      </c>
      <c r="I22" s="32">
        <v>41.43</v>
      </c>
      <c r="J22" s="97">
        <v>13.648687484111999</v>
      </c>
      <c r="K22" s="98">
        <f>(Table29[[#This Row],[Upstream fugitive CH4 emissions from oil and gas (1000 tonnes)]]*10^3)/(G22+D22)</f>
        <v>109.6909230984654</v>
      </c>
      <c r="L22" s="87">
        <v>2.1199999999999999E-3</v>
      </c>
      <c r="M22">
        <f t="shared" si="1"/>
        <v>2120</v>
      </c>
      <c r="N22" s="87">
        <v>162.72993525774999</v>
      </c>
      <c r="O22" s="87">
        <v>5.7700000000000001E-2</v>
      </c>
    </row>
    <row r="23" spans="2:15" x14ac:dyDescent="0.2">
      <c r="B23" s="32">
        <v>2022</v>
      </c>
      <c r="C23" s="102">
        <v>440617.9</v>
      </c>
      <c r="D23" s="97">
        <v>122.39386111111112</v>
      </c>
      <c r="E23" s="105">
        <f>Table29[[#This Row],[Gas supply (TWh)]]*M23</f>
        <v>259474.98555555558</v>
      </c>
      <c r="F23" s="102">
        <v>918817</v>
      </c>
      <c r="G23" s="105">
        <f t="shared" si="0"/>
        <v>255.2473626</v>
      </c>
      <c r="H23" s="92">
        <f>Table29[[#This Row],[Oil supply (TWh)]]*M23</f>
        <v>541124.408712</v>
      </c>
      <c r="I23" s="32">
        <v>47.97</v>
      </c>
      <c r="J23" s="97">
        <v>14.826494550974999</v>
      </c>
      <c r="K23" s="98">
        <f>(Table29[[#This Row],[Upstream fugitive CH4 emissions from oil and gas (1000 tonnes)]]*10^3)/(G23+D23)</f>
        <v>127.02532718381455</v>
      </c>
      <c r="L23" s="87">
        <v>2.1199999999999999E-3</v>
      </c>
      <c r="M23">
        <f t="shared" si="1"/>
        <v>2120</v>
      </c>
      <c r="N23" s="87">
        <v>160.02797055891</v>
      </c>
      <c r="O23" s="87">
        <v>6.0199999999999997E-2</v>
      </c>
    </row>
    <row r="24" spans="2:15" x14ac:dyDescent="0.2">
      <c r="B24" s="32">
        <v>2023</v>
      </c>
      <c r="C24" s="102">
        <v>440444.3</v>
      </c>
      <c r="D24" s="97">
        <v>122.34563888888889</v>
      </c>
      <c r="E24" s="105">
        <f>Table29[[#This Row],[Gas supply (TWh)]]*M24</f>
        <v>259372.75444444444</v>
      </c>
      <c r="F24" s="102">
        <v>847955</v>
      </c>
      <c r="G24" s="105">
        <f t="shared" si="0"/>
        <v>235.56189899999998</v>
      </c>
      <c r="H24" s="92">
        <f>Table29[[#This Row],[Oil supply (TWh)]]*M24</f>
        <v>499391.22587999998</v>
      </c>
      <c r="I24" s="32"/>
      <c r="J24" s="97">
        <v>14.559511107485999</v>
      </c>
      <c r="K24" s="98">
        <f>(Table29[[#This Row],[Upstream fugitive CH4 emissions from oil and gas (1000 tonnes)]]*10^3)/(G24+D24)</f>
        <v>0</v>
      </c>
      <c r="L24" s="87">
        <v>2.1199999999999999E-3</v>
      </c>
      <c r="M24">
        <f>L24*10^6</f>
        <v>2120</v>
      </c>
      <c r="N24" s="87">
        <v>161.05769335215001</v>
      </c>
      <c r="O24" s="87">
        <v>6.1699999999999998E-2</v>
      </c>
    </row>
    <row r="25" spans="2:15" x14ac:dyDescent="0.2">
      <c r="B25" s="32">
        <v>2024</v>
      </c>
      <c r="C25" s="102">
        <v>453039.7</v>
      </c>
      <c r="D25" s="97">
        <v>125.84436111111111</v>
      </c>
      <c r="E25" s="105">
        <f>Table29[[#This Row],[Gas supply (TWh)]]*M25</f>
        <v>266790.04555555555</v>
      </c>
      <c r="F25" s="103">
        <f>AVERAGE(F21:F24)</f>
        <v>891624.25</v>
      </c>
      <c r="G25" s="104">
        <f t="shared" si="0"/>
        <v>247.69321664999998</v>
      </c>
      <c r="H25" s="104">
        <f>Table29[[#This Row],[Oil supply (TWh)]]*M25</f>
        <v>525109.61929800001</v>
      </c>
      <c r="I25" s="97"/>
      <c r="J25" s="97">
        <v>14.780216944345</v>
      </c>
      <c r="K25" s="98">
        <f>(Table29[[#This Row],[Upstream fugitive CH4 emissions from oil and gas (1000 tonnes)]]*10^3)/(G25+D25)</f>
        <v>0</v>
      </c>
      <c r="L25" s="87">
        <v>2.1199999999999999E-3</v>
      </c>
      <c r="M25">
        <f t="shared" si="1"/>
        <v>2120</v>
      </c>
      <c r="N25" s="87">
        <v>168.61801547214</v>
      </c>
      <c r="O25" s="87">
        <v>6.3700000000000007E-2</v>
      </c>
    </row>
    <row r="26" spans="2:15" x14ac:dyDescent="0.2">
      <c r="B26" s="32">
        <v>2025</v>
      </c>
      <c r="C26" s="32"/>
      <c r="D26" s="32">
        <f>_xlfn.FORECAST.LINEAR(Table29[[#This Row],[Year]],D21:D25,B21:B25)</f>
        <v>126.25120555555577</v>
      </c>
      <c r="E26" s="104">
        <f>Table29[[#This Row],[Gas supply (TWh)]]*M26</f>
        <v>267652.55577777821</v>
      </c>
      <c r="F26" s="103">
        <f t="shared" ref="F26:F51" si="2">AVERAGE(F22:F25)</f>
        <v>893076.0625</v>
      </c>
      <c r="G26" s="92">
        <f t="shared" si="0"/>
        <v>248.09653016250002</v>
      </c>
      <c r="H26" s="92">
        <f>Table29[[#This Row],[Oil supply (TWh)]]*M26</f>
        <v>525964.64394450001</v>
      </c>
      <c r="I26" s="92"/>
      <c r="J26" s="92">
        <f>(119*(Table29[[#This Row],[Gas supply (TWh)]]+Table29[[#This Row],[Oil supply (TWh)]]))*10^-3</f>
        <v>44.547380550448636</v>
      </c>
      <c r="K26" s="32"/>
      <c r="L26">
        <v>2.1199999999999999E-3</v>
      </c>
      <c r="M26">
        <f t="shared" si="1"/>
        <v>2120</v>
      </c>
      <c r="N26" s="32"/>
      <c r="O26" s="32"/>
    </row>
    <row r="27" spans="2:15" x14ac:dyDescent="0.2">
      <c r="B27" s="32">
        <v>2026</v>
      </c>
      <c r="C27" s="32"/>
      <c r="D27" s="32">
        <f>_xlfn.FORECAST.LINEAR(Table29[[#This Row],[Year]],D22:D26,B22:B26)</f>
        <v>126.62729777777804</v>
      </c>
      <c r="E27" s="104">
        <f>Table29[[#This Row],[Gas supply (TWh)]]*M27</f>
        <v>268449.87128888944</v>
      </c>
      <c r="F27" s="103">
        <f t="shared" si="2"/>
        <v>887868.078125</v>
      </c>
      <c r="G27" s="92">
        <f t="shared" si="0"/>
        <v>246.649752103125</v>
      </c>
      <c r="H27" s="92">
        <f>Table29[[#This Row],[Oil supply (TWh)]]*M27</f>
        <v>522897.47445862502</v>
      </c>
      <c r="I27" s="92"/>
      <c r="J27" s="92">
        <f>(M27*(Table29[[#This Row],[Gas supply (TWh)]]+Table29[[#This Row],[Oil supply (TWh)]]))*10^-3</f>
        <v>791.34734574751451</v>
      </c>
      <c r="K27" s="32"/>
      <c r="L27">
        <v>2.1199999999999999E-3</v>
      </c>
      <c r="M27">
        <f t="shared" si="1"/>
        <v>2120</v>
      </c>
      <c r="N27" s="32"/>
      <c r="O27" s="32"/>
    </row>
    <row r="28" spans="2:15" x14ac:dyDescent="0.2">
      <c r="B28" s="32">
        <v>2027</v>
      </c>
      <c r="C28" s="32"/>
      <c r="D28" s="32">
        <f>_xlfn.FORECAST.LINEAR(Table29[[#This Row],[Year]],D23:D27,B23:B27)</f>
        <v>128.40420488888913</v>
      </c>
      <c r="E28" s="104">
        <f>Table29[[#This Row],[Gas supply (TWh)]]*M28</f>
        <v>272216.91436444497</v>
      </c>
      <c r="F28" s="103">
        <f t="shared" si="2"/>
        <v>880130.84765625</v>
      </c>
      <c r="G28" s="92">
        <f t="shared" si="0"/>
        <v>244.50034947890626</v>
      </c>
      <c r="H28" s="92">
        <f>Table29[[#This Row],[Oil supply (TWh)]]*M28</f>
        <v>518340.74089528125</v>
      </c>
      <c r="I28" s="92"/>
      <c r="J28" s="92">
        <f>(M28*(Table29[[#This Row],[Gas supply (TWh)]]+Table29[[#This Row],[Oil supply (TWh)]]))*10^-3</f>
        <v>790.55765525972629</v>
      </c>
      <c r="K28" s="32"/>
      <c r="L28">
        <v>2.1199999999999999E-3</v>
      </c>
      <c r="M28">
        <f t="shared" si="1"/>
        <v>2120</v>
      </c>
      <c r="N28" s="32"/>
      <c r="O28" s="32"/>
    </row>
    <row r="29" spans="2:15" x14ac:dyDescent="0.2">
      <c r="B29" s="32">
        <v>2028</v>
      </c>
      <c r="C29" s="32"/>
      <c r="D29" s="32">
        <f>_xlfn.FORECAST.LINEAR(Table29[[#This Row],[Year]],D24:D28,B24:B28)</f>
        <v>129.76456224444428</v>
      </c>
      <c r="E29" s="104">
        <f>Table29[[#This Row],[Gas supply (TWh)]]*M29</f>
        <v>275100.87195822189</v>
      </c>
      <c r="F29" s="103">
        <f t="shared" si="2"/>
        <v>888174.8095703125</v>
      </c>
      <c r="G29" s="92">
        <f t="shared" si="0"/>
        <v>246.73496209863279</v>
      </c>
      <c r="H29" s="92">
        <f>Table29[[#This Row],[Oil supply (TWh)]]*M29</f>
        <v>523078.11964910151</v>
      </c>
      <c r="I29" s="92"/>
      <c r="J29" s="92">
        <f>(M29*(Table29[[#This Row],[Gas supply (TWh)]]+Table29[[#This Row],[Oil supply (TWh)]]))*10^-3</f>
        <v>798.17899160732327</v>
      </c>
      <c r="K29" s="32"/>
      <c r="L29">
        <v>2.1199999999999999E-3</v>
      </c>
      <c r="M29">
        <f t="shared" si="1"/>
        <v>2120</v>
      </c>
      <c r="N29" s="32"/>
      <c r="O29" s="32"/>
    </row>
    <row r="30" spans="2:15" x14ac:dyDescent="0.2">
      <c r="B30" s="32">
        <v>2029</v>
      </c>
      <c r="C30" s="32"/>
      <c r="D30" s="32">
        <f>_xlfn.FORECAST.LINEAR(Table29[[#This Row],[Year]],D25:D29,B25:B29)</f>
        <v>130.37634679555526</v>
      </c>
      <c r="E30" s="104">
        <f>Table29[[#This Row],[Gas supply (TWh)]]*M30</f>
        <v>276397.85520657717</v>
      </c>
      <c r="F30" s="103">
        <f t="shared" si="2"/>
        <v>887312.44946289062</v>
      </c>
      <c r="G30" s="92">
        <f t="shared" si="0"/>
        <v>246.49539846079102</v>
      </c>
      <c r="H30" s="92">
        <f>Table29[[#This Row],[Oil supply (TWh)]]*M30</f>
        <v>522570.24473687698</v>
      </c>
      <c r="I30" s="92"/>
      <c r="J30" s="92">
        <f>(M30*(Table29[[#This Row],[Gas supply (TWh)]]+Table29[[#This Row],[Oil supply (TWh)]]))*10^-3</f>
        <v>798.96809994345415</v>
      </c>
      <c r="K30" s="32"/>
      <c r="L30">
        <v>2.1199999999999999E-3</v>
      </c>
      <c r="M30">
        <f t="shared" si="1"/>
        <v>2120</v>
      </c>
      <c r="N30" s="32"/>
      <c r="O30" s="32"/>
    </row>
    <row r="31" spans="2:15" x14ac:dyDescent="0.2">
      <c r="B31" s="32">
        <v>2030</v>
      </c>
      <c r="C31" s="32"/>
      <c r="D31" s="32">
        <f>_xlfn.FORECAST.LINEAR(Table29[[#This Row],[Year]],D26:D30,B26:B30)</f>
        <v>131.70098753644425</v>
      </c>
      <c r="E31" s="104">
        <f>Table29[[#This Row],[Gas supply (TWh)]]*M31</f>
        <v>279206.09357726178</v>
      </c>
      <c r="F31" s="103">
        <f t="shared" si="2"/>
        <v>885871.54620361328</v>
      </c>
      <c r="G31" s="92">
        <f t="shared" si="0"/>
        <v>246.09511553536379</v>
      </c>
      <c r="H31" s="92">
        <f>Table29[[#This Row],[Oil supply (TWh)]]*M31</f>
        <v>521721.64493497123</v>
      </c>
      <c r="I31" s="92"/>
      <c r="J31" s="92">
        <f>(M31*(Table29[[#This Row],[Gas supply (TWh)]]+Table29[[#This Row],[Oil supply (TWh)]]))*10^-3</f>
        <v>800.92773851223308</v>
      </c>
      <c r="K31" s="32"/>
      <c r="L31">
        <v>2.1199999999999999E-3</v>
      </c>
      <c r="M31">
        <f t="shared" si="1"/>
        <v>2120</v>
      </c>
      <c r="N31" s="32"/>
      <c r="O31" s="32"/>
    </row>
    <row r="32" spans="2:15" x14ac:dyDescent="0.2">
      <c r="B32" s="32">
        <v>2031</v>
      </c>
      <c r="C32" s="32"/>
      <c r="D32" s="32">
        <f>_xlfn.FORECAST.LINEAR(Table29[[#This Row],[Year]],D27:D31,B27:B31)</f>
        <v>133.01053627582178</v>
      </c>
      <c r="E32" s="104">
        <f>Table29[[#This Row],[Gas supply (TWh)]]*M32</f>
        <v>281982.33690474217</v>
      </c>
      <c r="F32" s="103">
        <f t="shared" si="2"/>
        <v>885372.4132232666</v>
      </c>
      <c r="G32" s="92">
        <f t="shared" si="0"/>
        <v>245.95645639342345</v>
      </c>
      <c r="H32" s="92">
        <f>Table29[[#This Row],[Oil supply (TWh)]]*M32</f>
        <v>521427.68755405775</v>
      </c>
      <c r="I32" s="92"/>
      <c r="J32" s="92">
        <f>(M32*(Table29[[#This Row],[Gas supply (TWh)]]+Table29[[#This Row],[Oil supply (TWh)]]))*10^-3</f>
        <v>803.41002445879985</v>
      </c>
      <c r="K32" s="32"/>
      <c r="L32">
        <v>2.1199999999999999E-3</v>
      </c>
      <c r="M32">
        <f t="shared" si="1"/>
        <v>2120</v>
      </c>
      <c r="N32" s="32"/>
      <c r="O32" s="32"/>
    </row>
    <row r="33" spans="2:15" x14ac:dyDescent="0.2">
      <c r="B33" s="32">
        <v>2032</v>
      </c>
      <c r="C33" s="32"/>
      <c r="D33" s="32">
        <f>_xlfn.FORECAST.LINEAR(Table29[[#This Row],[Year]],D28:D32,B28:B32)</f>
        <v>133.99605396799052</v>
      </c>
      <c r="E33" s="104">
        <f>Table29[[#This Row],[Gas supply (TWh)]]*M33</f>
        <v>284071.63441213989</v>
      </c>
      <c r="F33" s="103">
        <f t="shared" si="2"/>
        <v>886682.80461502075</v>
      </c>
      <c r="G33" s="92">
        <f t="shared" si="0"/>
        <v>246.32048312205276</v>
      </c>
      <c r="H33" s="92">
        <f>Table29[[#This Row],[Oil supply (TWh)]]*M33</f>
        <v>522199.42421875184</v>
      </c>
      <c r="I33" s="92"/>
      <c r="J33" s="92">
        <f>(M33*(Table29[[#This Row],[Gas supply (TWh)]]+Table29[[#This Row],[Oil supply (TWh)]]))*10^-3</f>
        <v>806.27105863089184</v>
      </c>
      <c r="K33" s="32"/>
      <c r="L33">
        <v>2.1199999999999999E-3</v>
      </c>
      <c r="M33">
        <f t="shared" si="1"/>
        <v>2120</v>
      </c>
      <c r="N33" s="32"/>
      <c r="O33" s="32"/>
    </row>
    <row r="34" spans="2:15" x14ac:dyDescent="0.2">
      <c r="B34" s="32">
        <v>2033</v>
      </c>
      <c r="C34" s="32"/>
      <c r="D34" s="32">
        <f>_xlfn.FORECAST.LINEAR(Table29[[#This Row],[Year]],D29:D33,B29:B33)</f>
        <v>135.09884924225889</v>
      </c>
      <c r="E34" s="104">
        <f>Table29[[#This Row],[Gas supply (TWh)]]*M34</f>
        <v>286409.56039358885</v>
      </c>
      <c r="F34" s="103">
        <f t="shared" si="2"/>
        <v>886309.80337619781</v>
      </c>
      <c r="G34" s="92">
        <f t="shared" si="0"/>
        <v>246.21686337790774</v>
      </c>
      <c r="H34" s="92">
        <f>Table29[[#This Row],[Oil supply (TWh)]]*M34</f>
        <v>521979.75036116439</v>
      </c>
      <c r="I34" s="92"/>
      <c r="J34" s="92">
        <f>(M34*(Table29[[#This Row],[Gas supply (TWh)]]+Table29[[#This Row],[Oil supply (TWh)]]))*10^-3</f>
        <v>808.3893107547533</v>
      </c>
      <c r="K34" s="32"/>
      <c r="L34">
        <v>2.1199999999999999E-3</v>
      </c>
      <c r="M34">
        <f t="shared" si="1"/>
        <v>2120</v>
      </c>
      <c r="N34" s="32"/>
      <c r="O34" s="32"/>
    </row>
    <row r="35" spans="2:15" x14ac:dyDescent="0.2">
      <c r="B35" s="32">
        <v>2034</v>
      </c>
      <c r="C35" s="32"/>
      <c r="D35" s="32">
        <f>_xlfn.FORECAST.LINEAR(Table29[[#This Row],[Year]],D30:D34,B30:B34)</f>
        <v>136.35857616109979</v>
      </c>
      <c r="E35" s="104">
        <f>Table29[[#This Row],[Gas supply (TWh)]]*M35</f>
        <v>289080.18146153155</v>
      </c>
      <c r="F35" s="103">
        <f t="shared" si="2"/>
        <v>886059.14185452461</v>
      </c>
      <c r="G35" s="92">
        <f t="shared" si="0"/>
        <v>246.14722960718694</v>
      </c>
      <c r="H35" s="92">
        <f>Table29[[#This Row],[Oil supply (TWh)]]*M35</f>
        <v>521832.12676723633</v>
      </c>
      <c r="I35" s="92"/>
      <c r="J35" s="92">
        <f>(M35*(Table29[[#This Row],[Gas supply (TWh)]]+Table29[[#This Row],[Oil supply (TWh)]]))*10^-3</f>
        <v>810.91230822876787</v>
      </c>
      <c r="K35" s="32"/>
      <c r="L35">
        <v>2.1199999999999999E-3</v>
      </c>
      <c r="M35">
        <f t="shared" si="1"/>
        <v>2120</v>
      </c>
      <c r="N35" s="32"/>
      <c r="O35" s="32"/>
    </row>
    <row r="36" spans="2:15" x14ac:dyDescent="0.2">
      <c r="B36" s="32">
        <v>2035</v>
      </c>
      <c r="C36" s="32"/>
      <c r="D36" s="32">
        <f>_xlfn.FORECAST.LINEAR(Table29[[#This Row],[Year]],D31:D35,B31:B35)</f>
        <v>137.45404770144751</v>
      </c>
      <c r="E36" s="104">
        <f>Table29[[#This Row],[Gas supply (TWh)]]*M36</f>
        <v>291402.58112706873</v>
      </c>
      <c r="F36" s="103">
        <f t="shared" si="2"/>
        <v>886106.04076725245</v>
      </c>
      <c r="G36" s="92">
        <f t="shared" si="0"/>
        <v>246.16025812514275</v>
      </c>
      <c r="H36" s="92">
        <f>Table29[[#This Row],[Oil supply (TWh)]]*M36</f>
        <v>521859.74722530262</v>
      </c>
      <c r="I36" s="92"/>
      <c r="J36" s="92">
        <f>(M36*(Table29[[#This Row],[Gas supply (TWh)]]+Table29[[#This Row],[Oil supply (TWh)]]))*10^-3</f>
        <v>813.26232835237124</v>
      </c>
      <c r="K36" s="32"/>
      <c r="L36">
        <v>2.1199999999999999E-3</v>
      </c>
      <c r="M36">
        <f t="shared" si="1"/>
        <v>2120</v>
      </c>
      <c r="N36" s="32"/>
      <c r="O36" s="32"/>
    </row>
    <row r="37" spans="2:15" x14ac:dyDescent="0.2">
      <c r="B37" s="32">
        <v>2036</v>
      </c>
      <c r="C37" s="32"/>
      <c r="D37" s="32">
        <f>_xlfn.FORECAST.LINEAR(Table29[[#This Row],[Year]],D32:D36,B32:B36)</f>
        <v>138.55847618303142</v>
      </c>
      <c r="E37" s="104">
        <f>Table29[[#This Row],[Gas supply (TWh)]]*M37</f>
        <v>293743.96950802661</v>
      </c>
      <c r="F37" s="103">
        <f t="shared" si="2"/>
        <v>886289.44765324891</v>
      </c>
      <c r="G37" s="92">
        <f t="shared" si="0"/>
        <v>246.21120855807254</v>
      </c>
      <c r="H37" s="92">
        <f>Table29[[#This Row],[Oil supply (TWh)]]*M37</f>
        <v>521967.76214311377</v>
      </c>
      <c r="I37" s="92"/>
      <c r="J37" s="92">
        <f>(M37*(Table29[[#This Row],[Gas supply (TWh)]]+Table29[[#This Row],[Oil supply (TWh)]]))*10^-3</f>
        <v>815.71173165114044</v>
      </c>
      <c r="K37" s="32"/>
      <c r="L37">
        <v>2.1199999999999999E-3</v>
      </c>
      <c r="M37">
        <f t="shared" si="1"/>
        <v>2120</v>
      </c>
      <c r="N37" s="32"/>
      <c r="O37" s="32"/>
    </row>
    <row r="38" spans="2:15" x14ac:dyDescent="0.2">
      <c r="B38" s="32">
        <v>2037</v>
      </c>
      <c r="C38" s="32"/>
      <c r="D38" s="32">
        <f>_xlfn.FORECAST.LINEAR(Table29[[#This Row],[Year]],D33:D37,B33:B37)</f>
        <v>139.73721351794666</v>
      </c>
      <c r="E38" s="104">
        <f>Table29[[#This Row],[Gas supply (TWh)]]*M38</f>
        <v>296242.89265804691</v>
      </c>
      <c r="F38" s="103">
        <f t="shared" si="2"/>
        <v>886191.10841280594</v>
      </c>
      <c r="G38" s="92">
        <f t="shared" si="0"/>
        <v>246.18388991707749</v>
      </c>
      <c r="H38" s="92">
        <f>Table29[[#This Row],[Oil supply (TWh)]]*M38</f>
        <v>521909.84662420431</v>
      </c>
      <c r="I38" s="92"/>
      <c r="J38" s="92">
        <f>(M38*(Table29[[#This Row],[Gas supply (TWh)]]+Table29[[#This Row],[Oil supply (TWh)]]))*10^-3</f>
        <v>818.15273928225122</v>
      </c>
      <c r="K38" s="32"/>
      <c r="L38">
        <v>2.1199999999999999E-3</v>
      </c>
      <c r="M38">
        <f t="shared" si="1"/>
        <v>2120</v>
      </c>
      <c r="N38" s="32"/>
      <c r="O38" s="32"/>
    </row>
    <row r="39" spans="2:15" x14ac:dyDescent="0.2">
      <c r="B39" s="32">
        <v>2038</v>
      </c>
      <c r="C39" s="32"/>
      <c r="D39" s="32">
        <f>_xlfn.FORECAST.LINEAR(Table29[[#This Row],[Year]],D34:D38,B34:B38)</f>
        <v>140.88442113314932</v>
      </c>
      <c r="E39" s="104">
        <f>Table29[[#This Row],[Gas supply (TWh)]]*M39</f>
        <v>298674.97280227655</v>
      </c>
      <c r="F39" s="103">
        <f t="shared" si="2"/>
        <v>886161.43467195798</v>
      </c>
      <c r="G39" s="92">
        <f t="shared" si="0"/>
        <v>246.17564655186993</v>
      </c>
      <c r="H39" s="92">
        <f>Table29[[#This Row],[Oil supply (TWh)]]*M39</f>
        <v>521892.37068996427</v>
      </c>
      <c r="I39" s="92"/>
      <c r="J39" s="92">
        <f>(M39*(Table29[[#This Row],[Gas supply (TWh)]]+Table29[[#This Row],[Oil supply (TWh)]]))*10^-3</f>
        <v>820.56734349224075</v>
      </c>
      <c r="K39" s="32"/>
      <c r="L39">
        <v>2.1199999999999999E-3</v>
      </c>
      <c r="M39">
        <f t="shared" si="1"/>
        <v>2120</v>
      </c>
      <c r="N39" s="32"/>
      <c r="O39" s="32"/>
    </row>
    <row r="40" spans="2:15" x14ac:dyDescent="0.2">
      <c r="B40" s="32">
        <v>2039</v>
      </c>
      <c r="C40" s="32"/>
      <c r="D40" s="32">
        <f>_xlfn.FORECAST.LINEAR(Table29[[#This Row],[Year]],D35:D39,B35:B39)</f>
        <v>141.99900366751444</v>
      </c>
      <c r="E40" s="104">
        <f>Table29[[#This Row],[Gas supply (TWh)]]*M40</f>
        <v>301037.88777513063</v>
      </c>
      <c r="F40" s="103">
        <f t="shared" si="2"/>
        <v>886187.00787631632</v>
      </c>
      <c r="G40" s="92">
        <f t="shared" si="0"/>
        <v>246.18275078804069</v>
      </c>
      <c r="H40" s="92">
        <f>Table29[[#This Row],[Oil supply (TWh)]]*M40</f>
        <v>521907.43167064624</v>
      </c>
      <c r="I40" s="92"/>
      <c r="J40" s="92">
        <f>(M40*(Table29[[#This Row],[Gas supply (TWh)]]+Table29[[#This Row],[Oil supply (TWh)]]))*10^-3</f>
        <v>822.94531944577705</v>
      </c>
      <c r="K40" s="32"/>
      <c r="L40">
        <v>2.1199999999999999E-3</v>
      </c>
      <c r="M40">
        <f t="shared" si="1"/>
        <v>2120</v>
      </c>
      <c r="N40" s="32"/>
      <c r="O40" s="32"/>
    </row>
    <row r="41" spans="2:15" x14ac:dyDescent="0.2">
      <c r="B41" s="32">
        <v>2040</v>
      </c>
      <c r="C41" s="32"/>
      <c r="D41" s="32">
        <f>_xlfn.FORECAST.LINEAR(Table29[[#This Row],[Year]],D36:D40,B36:B40)</f>
        <v>143.15138950529354</v>
      </c>
      <c r="E41" s="104">
        <f>Table29[[#This Row],[Gas supply (TWh)]]*M41</f>
        <v>303480.94575122232</v>
      </c>
      <c r="F41" s="103">
        <f t="shared" si="2"/>
        <v>886207.24965358223</v>
      </c>
      <c r="G41" s="92">
        <f t="shared" si="0"/>
        <v>246.18837395376514</v>
      </c>
      <c r="H41" s="92">
        <f>Table29[[#This Row],[Oil supply (TWh)]]*M41</f>
        <v>521919.3527819821</v>
      </c>
      <c r="I41" s="92"/>
      <c r="J41" s="92">
        <f>(M41*(Table29[[#This Row],[Gas supply (TWh)]]+Table29[[#This Row],[Oil supply (TWh)]]))*10^-3</f>
        <v>825.40029853320436</v>
      </c>
      <c r="K41" s="32"/>
      <c r="L41">
        <v>2.1199999999999999E-3</v>
      </c>
      <c r="M41">
        <f t="shared" si="1"/>
        <v>2120</v>
      </c>
      <c r="N41" s="32"/>
      <c r="O41" s="32"/>
    </row>
    <row r="42" spans="2:15" x14ac:dyDescent="0.2">
      <c r="B42" s="32">
        <v>2041</v>
      </c>
      <c r="C42" s="32"/>
      <c r="D42" s="32">
        <f>_xlfn.FORECAST.LINEAR(Table29[[#This Row],[Year]],D37:D41,B37:B41)</f>
        <v>144.30038583961459</v>
      </c>
      <c r="E42" s="104">
        <f>Table29[[#This Row],[Gas supply (TWh)]]*M42</f>
        <v>305916.81797998294</v>
      </c>
      <c r="F42" s="103">
        <f t="shared" si="2"/>
        <v>886186.70015366562</v>
      </c>
      <c r="G42" s="92">
        <f t="shared" si="0"/>
        <v>246.18266530268832</v>
      </c>
      <c r="H42" s="92">
        <f>Table29[[#This Row],[Oil supply (TWh)]]*M42</f>
        <v>521907.25044169923</v>
      </c>
      <c r="I42" s="92"/>
      <c r="J42" s="92">
        <f>(M42*(Table29[[#This Row],[Gas supply (TWh)]]+Table29[[#This Row],[Oil supply (TWh)]]))*10^-3</f>
        <v>827.82406842168211</v>
      </c>
      <c r="K42" s="32"/>
      <c r="L42">
        <v>2.1199999999999999E-3</v>
      </c>
      <c r="M42">
        <f t="shared" si="1"/>
        <v>2120</v>
      </c>
      <c r="N42" s="32"/>
      <c r="O42" s="32"/>
    </row>
    <row r="43" spans="2:15" x14ac:dyDescent="0.2">
      <c r="B43" s="32">
        <v>2042</v>
      </c>
      <c r="C43" s="32"/>
      <c r="D43" s="32">
        <f>_xlfn.FORECAST.LINEAR(Table29[[#This Row],[Year]],D38:D42,B38:B42)</f>
        <v>145.43247663734792</v>
      </c>
      <c r="E43" s="104">
        <f>Table29[[#This Row],[Gas supply (TWh)]]*M43</f>
        <v>308316.8504711776</v>
      </c>
      <c r="F43" s="103">
        <f t="shared" si="2"/>
        <v>886185.59808888054</v>
      </c>
      <c r="G43" s="92">
        <f t="shared" si="0"/>
        <v>246.18235914909101</v>
      </c>
      <c r="H43" s="92">
        <f>Table29[[#This Row],[Oil supply (TWh)]]*M43</f>
        <v>521906.60139607295</v>
      </c>
      <c r="I43" s="92"/>
      <c r="J43" s="92">
        <f>(M43*(Table29[[#This Row],[Gas supply (TWh)]]+Table29[[#This Row],[Oil supply (TWh)]]))*10^-3</f>
        <v>830.22345186725056</v>
      </c>
      <c r="K43" s="32"/>
      <c r="L43">
        <v>2.1199999999999999E-3</v>
      </c>
      <c r="M43">
        <f t="shared" si="1"/>
        <v>2120</v>
      </c>
      <c r="N43" s="32"/>
      <c r="O43" s="32"/>
    </row>
    <row r="44" spans="2:15" x14ac:dyDescent="0.2">
      <c r="B44" s="32">
        <v>2043</v>
      </c>
      <c r="C44" s="32"/>
      <c r="D44" s="32">
        <f>_xlfn.FORECAST.LINEAR(Table29[[#This Row],[Year]],D39:D43,B39:B43)</f>
        <v>146.57278331073348</v>
      </c>
      <c r="E44" s="104">
        <f>Table29[[#This Row],[Gas supply (TWh)]]*M44</f>
        <v>310734.30061875499</v>
      </c>
      <c r="F44" s="103">
        <f t="shared" si="2"/>
        <v>886191.63894311117</v>
      </c>
      <c r="G44" s="92">
        <f t="shared" si="0"/>
        <v>246.18403729839628</v>
      </c>
      <c r="H44" s="92">
        <f>Table29[[#This Row],[Oil supply (TWh)]]*M44</f>
        <v>521910.15907260013</v>
      </c>
      <c r="I44" s="92"/>
      <c r="J44" s="92">
        <f>(M44*(Table29[[#This Row],[Gas supply (TWh)]]+Table29[[#This Row],[Oil supply (TWh)]]))*10^-3</f>
        <v>832.64445969135511</v>
      </c>
      <c r="K44" s="32"/>
      <c r="L44">
        <v>2.1199999999999999E-3</v>
      </c>
      <c r="M44">
        <f t="shared" si="1"/>
        <v>2120</v>
      </c>
      <c r="N44" s="32"/>
      <c r="O44" s="32"/>
    </row>
    <row r="45" spans="2:15" x14ac:dyDescent="0.2">
      <c r="B45" s="32">
        <v>2044</v>
      </c>
      <c r="C45" s="32"/>
      <c r="D45" s="32">
        <f>_xlfn.FORECAST.LINEAR(Table29[[#This Row],[Year]],D40:D44,B40:B44)</f>
        <v>147.71980171764881</v>
      </c>
      <c r="E45" s="104">
        <f>Table29[[#This Row],[Gas supply (TWh)]]*M45</f>
        <v>313165.97964141547</v>
      </c>
      <c r="F45" s="103">
        <f t="shared" si="2"/>
        <v>886192.7967098098</v>
      </c>
      <c r="G45" s="92">
        <f t="shared" si="0"/>
        <v>246.18435892598518</v>
      </c>
      <c r="H45" s="92">
        <f>Table29[[#This Row],[Oil supply (TWh)]]*M45</f>
        <v>521910.8409230886</v>
      </c>
      <c r="I45" s="92"/>
      <c r="J45" s="92">
        <f>(M45*(Table29[[#This Row],[Gas supply (TWh)]]+Table29[[#This Row],[Oil supply (TWh)]]))*10^-3</f>
        <v>835.07682056450403</v>
      </c>
      <c r="K45" s="32"/>
      <c r="L45">
        <v>2.1199999999999999E-3</v>
      </c>
      <c r="M45">
        <f t="shared" si="1"/>
        <v>2120</v>
      </c>
      <c r="N45" s="32"/>
      <c r="O45" s="32"/>
    </row>
    <row r="46" spans="2:15" x14ac:dyDescent="0.2">
      <c r="B46" s="32">
        <v>2045</v>
      </c>
      <c r="C46" s="32"/>
      <c r="D46" s="32">
        <f>_xlfn.FORECAST.LINEAR(Table29[[#This Row],[Year]],D41:D45,B41:B45)</f>
        <v>148.85813397087622</v>
      </c>
      <c r="E46" s="104">
        <f>Table29[[#This Row],[Gas supply (TWh)]]*M46</f>
        <v>315579.2440182576</v>
      </c>
      <c r="F46" s="103">
        <f t="shared" si="2"/>
        <v>886189.18347386678</v>
      </c>
      <c r="G46" s="92">
        <f t="shared" si="0"/>
        <v>246.1833551690402</v>
      </c>
      <c r="H46" s="92">
        <f>Table29[[#This Row],[Oil supply (TWh)]]*M46</f>
        <v>521908.71295836521</v>
      </c>
      <c r="I46" s="92"/>
      <c r="J46" s="92">
        <f>(M46*(Table29[[#This Row],[Gas supply (TWh)]]+Table29[[#This Row],[Oil supply (TWh)]]))*10^-3</f>
        <v>837.48795697662285</v>
      </c>
      <c r="K46" s="32"/>
      <c r="L46">
        <v>2.1199999999999999E-3</v>
      </c>
      <c r="M46">
        <f t="shared" si="1"/>
        <v>2120</v>
      </c>
      <c r="N46" s="32"/>
      <c r="O46" s="32"/>
    </row>
    <row r="47" spans="2:15" x14ac:dyDescent="0.2">
      <c r="B47" s="32">
        <v>2046</v>
      </c>
      <c r="C47" s="32"/>
      <c r="D47" s="32">
        <f>_xlfn.FORECAST.LINEAR(Table29[[#This Row],[Year]],D42:D46,B42:B46)</f>
        <v>149.99756269809177</v>
      </c>
      <c r="E47" s="104">
        <f>Table29[[#This Row],[Gas supply (TWh)]]*M47</f>
        <v>317994.83291995456</v>
      </c>
      <c r="F47" s="103">
        <f t="shared" si="2"/>
        <v>886189.8043039171</v>
      </c>
      <c r="G47" s="92">
        <f t="shared" si="0"/>
        <v>246.1835276356282</v>
      </c>
      <c r="H47" s="92">
        <f>Table29[[#This Row],[Oil supply (TWh)]]*M47</f>
        <v>521909.07858753175</v>
      </c>
      <c r="I47" s="92"/>
      <c r="J47" s="92">
        <f>(M47*(Table29[[#This Row],[Gas supply (TWh)]]+Table29[[#This Row],[Oil supply (TWh)]]))*10^-3</f>
        <v>839.90391150748633</v>
      </c>
      <c r="K47" s="32"/>
      <c r="L47">
        <v>2.1199999999999999E-3</v>
      </c>
      <c r="M47">
        <f t="shared" si="1"/>
        <v>2120</v>
      </c>
      <c r="N47" s="32"/>
      <c r="O47" s="32"/>
    </row>
    <row r="48" spans="2:15" x14ac:dyDescent="0.2">
      <c r="B48" s="32">
        <v>2047</v>
      </c>
      <c r="C48" s="32"/>
      <c r="D48" s="32">
        <f>_xlfn.FORECAST.LINEAR(Table29[[#This Row],[Year]],D43:D47,B43:B47)</f>
        <v>151.14080850142909</v>
      </c>
      <c r="E48" s="104">
        <f>Table29[[#This Row],[Gas supply (TWh)]]*M48</f>
        <v>320418.51402302965</v>
      </c>
      <c r="F48" s="103">
        <f t="shared" si="2"/>
        <v>886190.85585767624</v>
      </c>
      <c r="G48" s="92">
        <f t="shared" si="0"/>
        <v>246.18381975726246</v>
      </c>
      <c r="H48" s="92">
        <f>Table29[[#This Row],[Oil supply (TWh)]]*M48</f>
        <v>521909.69788539642</v>
      </c>
      <c r="I48" s="92"/>
      <c r="J48" s="92">
        <f>(M48*(Table29[[#This Row],[Gas supply (TWh)]]+Table29[[#This Row],[Oil supply (TWh)]]))*10^-3</f>
        <v>842.32821190842606</v>
      </c>
      <c r="K48" s="32"/>
      <c r="L48">
        <v>2.1199999999999999E-3</v>
      </c>
      <c r="M48">
        <f t="shared" si="1"/>
        <v>2120</v>
      </c>
      <c r="N48" s="32"/>
      <c r="O48" s="32"/>
    </row>
    <row r="49" spans="2:15" x14ac:dyDescent="0.2">
      <c r="B49" s="32">
        <v>2048</v>
      </c>
      <c r="C49" s="32"/>
      <c r="D49" s="32">
        <f>_xlfn.FORECAST.LINEAR(Table29[[#This Row],[Year]],D44:D48,B44:B48)</f>
        <v>152.28196144830599</v>
      </c>
      <c r="E49" s="104">
        <f>Table29[[#This Row],[Gas supply (TWh)]]*M49</f>
        <v>322837.75827040873</v>
      </c>
      <c r="F49" s="103">
        <f t="shared" si="2"/>
        <v>886190.66008631757</v>
      </c>
      <c r="G49" s="92">
        <f t="shared" si="0"/>
        <v>246.18376537197901</v>
      </c>
      <c r="H49" s="92">
        <f>Table29[[#This Row],[Oil supply (TWh)]]*M49</f>
        <v>521909.58258859551</v>
      </c>
      <c r="I49" s="92"/>
      <c r="J49" s="92">
        <f>(M49*(Table29[[#This Row],[Gas supply (TWh)]]+Table29[[#This Row],[Oil supply (TWh)]]))*10^-3</f>
        <v>844.74734085900423</v>
      </c>
      <c r="K49" s="32"/>
      <c r="L49">
        <v>2.1199999999999999E-3</v>
      </c>
      <c r="M49">
        <f t="shared" si="1"/>
        <v>2120</v>
      </c>
      <c r="N49" s="32"/>
      <c r="O49" s="32"/>
    </row>
    <row r="50" spans="2:15" x14ac:dyDescent="0.2">
      <c r="B50" s="32">
        <v>2049</v>
      </c>
      <c r="C50" s="32"/>
      <c r="D50" s="32">
        <f>_xlfn.FORECAST.LINEAR(Table29[[#This Row],[Year]],D45:D49,B45:B49)</f>
        <v>153.42175186483064</v>
      </c>
      <c r="E50" s="104">
        <f>Table29[[#This Row],[Gas supply (TWh)]]*M50</f>
        <v>325254.11395344097</v>
      </c>
      <c r="F50" s="103">
        <f t="shared" si="2"/>
        <v>886190.12593044445</v>
      </c>
      <c r="G50" s="92">
        <f t="shared" si="0"/>
        <v>246.18361698347746</v>
      </c>
      <c r="H50" s="92">
        <f>Table29[[#This Row],[Oil supply (TWh)]]*M50</f>
        <v>521909.2680049722</v>
      </c>
      <c r="I50" s="92"/>
      <c r="J50" s="92">
        <f>(M50*(Table29[[#This Row],[Gas supply (TWh)]]+Table29[[#This Row],[Oil supply (TWh)]]))*10^-3</f>
        <v>847.1633819584132</v>
      </c>
      <c r="K50" s="32"/>
      <c r="L50">
        <v>2.1199999999999999E-3</v>
      </c>
      <c r="M50">
        <f t="shared" si="1"/>
        <v>2120</v>
      </c>
      <c r="N50" s="32"/>
      <c r="O50" s="32"/>
    </row>
    <row r="51" spans="2:15" x14ac:dyDescent="0.2">
      <c r="B51" s="32">
        <v>2050</v>
      </c>
      <c r="C51" s="32"/>
      <c r="D51" s="32">
        <f>_xlfn.FORECAST.LINEAR(Table29[[#This Row],[Year]],D46:D50,B46:B50)</f>
        <v>154.56353405814389</v>
      </c>
      <c r="E51" s="104">
        <f>Table29[[#This Row],[Gas supply (TWh)]]*M51</f>
        <v>327674.69220326503</v>
      </c>
      <c r="F51" s="103">
        <f t="shared" si="2"/>
        <v>886190.36154458881</v>
      </c>
      <c r="G51" s="92">
        <f t="shared" si="0"/>
        <v>246.18368243708679</v>
      </c>
      <c r="H51" s="92">
        <f>Table29[[#This Row],[Oil supply (TWh)]]*M51</f>
        <v>521909.40676662402</v>
      </c>
      <c r="I51" s="92"/>
      <c r="J51" s="92">
        <f>(M51*(Table29[[#This Row],[Gas supply (TWh)]]+Table29[[#This Row],[Oil supply (TWh)]]))*10^-3</f>
        <v>849.58409896988906</v>
      </c>
      <c r="K51" s="32"/>
      <c r="L51">
        <v>2.1199999999999999E-3</v>
      </c>
      <c r="M51">
        <f t="shared" si="1"/>
        <v>2120</v>
      </c>
      <c r="N51" s="32"/>
      <c r="O51" s="32"/>
    </row>
    <row r="52" spans="2:15" x14ac:dyDescent="0.2">
      <c r="B52" s="32" t="s">
        <v>240</v>
      </c>
      <c r="C52" s="32"/>
      <c r="D52" s="93">
        <f>SUM(D21:D51)</f>
        <v>4261.29639997902</v>
      </c>
      <c r="E52" s="105">
        <f>Table29[[#This Row],[Gas supply (TWh)]]*M52</f>
        <v>0</v>
      </c>
      <c r="F52" s="103">
        <f>SUM(F21:F51)</f>
        <v>27504019.220714517</v>
      </c>
      <c r="G52" s="92">
        <f>SUM(G11:G51)</f>
        <v>9875.0322229144949</v>
      </c>
      <c r="H52" s="92">
        <f>Table29[[#This Row],[Oil supply (TWh)]]*M52</f>
        <v>0</v>
      </c>
      <c r="I52" s="92"/>
      <c r="J52" s="92">
        <f>SUM(J21:J51)</f>
        <v>20627.59712540717</v>
      </c>
      <c r="K52" s="32"/>
      <c r="L52" s="32"/>
      <c r="M52">
        <f t="shared" si="1"/>
        <v>0</v>
      </c>
      <c r="N52" s="32"/>
      <c r="O52" s="32"/>
    </row>
    <row r="53" spans="2:15" x14ac:dyDescent="0.2">
      <c r="B53" s="89"/>
      <c r="C53" s="89"/>
      <c r="D53" s="89"/>
      <c r="E53" s="101"/>
      <c r="F53" s="89"/>
      <c r="G53" s="91"/>
      <c r="H53" s="101"/>
      <c r="I53" s="91"/>
      <c r="J53" s="91">
        <f>(D52+G52)*K23*10^-3</f>
        <v>1795.6717685009712</v>
      </c>
      <c r="K53" s="89"/>
      <c r="L53" s="32"/>
      <c r="M53" s="32"/>
      <c r="N53" s="32"/>
    </row>
    <row r="54" spans="2:15" x14ac:dyDescent="0.2">
      <c r="J54" s="107">
        <f>Table29[[#Totals],[CH4 emissions from oil and gas (1000 tonnes)]]*10^-3</f>
        <v>1.7956717685009713</v>
      </c>
      <c r="K54" t="s">
        <v>7</v>
      </c>
    </row>
    <row r="56" spans="2:15" x14ac:dyDescent="0.2">
      <c r="F56" s="32" t="s">
        <v>173</v>
      </c>
    </row>
    <row r="57" spans="2:15" x14ac:dyDescent="0.2">
      <c r="B57" t="s">
        <v>2</v>
      </c>
      <c r="F57" s="32" t="s">
        <v>354</v>
      </c>
      <c r="G57" s="32" t="s">
        <v>6</v>
      </c>
      <c r="H57" s="32" t="s">
        <v>359</v>
      </c>
      <c r="I57" s="32"/>
      <c r="J57" s="32" t="s">
        <v>358</v>
      </c>
    </row>
    <row r="58" spans="2:15" x14ac:dyDescent="0.2">
      <c r="B58">
        <v>2000</v>
      </c>
      <c r="F58" s="81">
        <v>726289</v>
      </c>
      <c r="G58" s="81">
        <f t="shared" ref="G58:G81" si="3">F58*277.8*10^-6</f>
        <v>201.76308420000001</v>
      </c>
      <c r="H58" s="81"/>
      <c r="I58" s="81"/>
      <c r="J58">
        <v>38.853000000000002</v>
      </c>
    </row>
    <row r="59" spans="2:15" x14ac:dyDescent="0.2">
      <c r="B59">
        <v>2001</v>
      </c>
      <c r="F59" s="81">
        <v>800832</v>
      </c>
      <c r="G59" s="81">
        <f t="shared" si="3"/>
        <v>222.47112960000001</v>
      </c>
      <c r="H59" s="81"/>
      <c r="I59" s="81"/>
      <c r="J59">
        <v>36.853999999999999</v>
      </c>
    </row>
    <row r="60" spans="2:15" x14ac:dyDescent="0.2">
      <c r="B60">
        <v>2002</v>
      </c>
      <c r="F60" s="81">
        <v>748507</v>
      </c>
      <c r="G60" s="81">
        <f t="shared" si="3"/>
        <v>207.93524459999998</v>
      </c>
      <c r="H60" s="81"/>
      <c r="I60" s="81"/>
      <c r="J60">
        <v>33.491</v>
      </c>
    </row>
    <row r="61" spans="2:15" x14ac:dyDescent="0.2">
      <c r="B61">
        <v>2003</v>
      </c>
      <c r="F61" s="81">
        <v>869598</v>
      </c>
      <c r="G61" s="81">
        <f t="shared" si="3"/>
        <v>241.57432439999999</v>
      </c>
      <c r="H61" s="81"/>
      <c r="I61" s="81"/>
      <c r="J61">
        <v>26.762</v>
      </c>
    </row>
    <row r="62" spans="2:15" x14ac:dyDescent="0.2">
      <c r="B62">
        <v>2004</v>
      </c>
      <c r="C62" s="32"/>
      <c r="F62" s="81">
        <v>1048658</v>
      </c>
      <c r="G62" s="81">
        <f t="shared" si="3"/>
        <v>291.31719240000001</v>
      </c>
      <c r="H62" s="81"/>
      <c r="I62" s="81"/>
      <c r="J62">
        <v>26.231000000000002</v>
      </c>
    </row>
    <row r="63" spans="2:15" x14ac:dyDescent="0.2">
      <c r="B63">
        <v>2005</v>
      </c>
      <c r="F63" s="81">
        <v>653180</v>
      </c>
      <c r="G63" s="81">
        <f t="shared" si="3"/>
        <v>181.45340399999998</v>
      </c>
      <c r="H63" s="81"/>
      <c r="I63" s="81"/>
      <c r="J63">
        <v>24.108000000000001</v>
      </c>
    </row>
    <row r="64" spans="2:15" x14ac:dyDescent="0.2">
      <c r="B64">
        <v>2006</v>
      </c>
      <c r="F64" s="81">
        <v>701985</v>
      </c>
      <c r="G64" s="81">
        <f t="shared" si="3"/>
        <v>195.01143299999998</v>
      </c>
      <c r="H64" s="81"/>
      <c r="I64" s="81"/>
      <c r="J64">
        <v>23.442</v>
      </c>
    </row>
    <row r="65" spans="2:10" x14ac:dyDescent="0.2">
      <c r="B65">
        <v>2007</v>
      </c>
      <c r="F65" s="81">
        <v>612115</v>
      </c>
      <c r="G65" s="81">
        <f t="shared" si="3"/>
        <v>170.045547</v>
      </c>
      <c r="H65" s="81"/>
      <c r="I65" s="81"/>
      <c r="J65">
        <v>23.876999999999999</v>
      </c>
    </row>
    <row r="66" spans="2:10" x14ac:dyDescent="0.2">
      <c r="B66">
        <v>2008</v>
      </c>
      <c r="F66" s="81">
        <v>738210</v>
      </c>
      <c r="G66" s="81">
        <f t="shared" si="3"/>
        <v>205.074738</v>
      </c>
      <c r="H66" s="81"/>
      <c r="I66" s="81"/>
      <c r="J66">
        <v>23.654</v>
      </c>
    </row>
    <row r="67" spans="2:10" x14ac:dyDescent="0.2">
      <c r="B67">
        <v>2009</v>
      </c>
      <c r="F67" s="81">
        <v>841762</v>
      </c>
      <c r="G67" s="81">
        <f t="shared" si="3"/>
        <v>233.8414836</v>
      </c>
      <c r="H67" s="81"/>
      <c r="I67" s="81"/>
      <c r="J67">
        <v>24.047000000000001</v>
      </c>
    </row>
    <row r="68" spans="2:10" x14ac:dyDescent="0.2">
      <c r="B68">
        <v>2010</v>
      </c>
      <c r="F68" s="81">
        <v>735566</v>
      </c>
      <c r="G68" s="81">
        <f t="shared" si="3"/>
        <v>204.34023479999999</v>
      </c>
      <c r="H68" s="81"/>
      <c r="I68" s="81"/>
      <c r="J68">
        <v>26.231999999999999</v>
      </c>
    </row>
    <row r="69" spans="2:10" x14ac:dyDescent="0.2">
      <c r="B69">
        <v>2011</v>
      </c>
      <c r="F69" s="81">
        <v>586680</v>
      </c>
      <c r="G69" s="81">
        <f t="shared" si="3"/>
        <v>162.979704</v>
      </c>
      <c r="H69" s="81"/>
      <c r="I69" s="81"/>
      <c r="J69">
        <v>28.061</v>
      </c>
    </row>
    <row r="70" spans="2:10" x14ac:dyDescent="0.2">
      <c r="B70">
        <v>2012</v>
      </c>
      <c r="F70" s="81">
        <v>740687</v>
      </c>
      <c r="G70" s="81">
        <f t="shared" si="3"/>
        <v>205.76284859999998</v>
      </c>
      <c r="H70" s="81"/>
      <c r="I70" s="81"/>
      <c r="J70">
        <v>25.783999999999999</v>
      </c>
    </row>
    <row r="71" spans="2:10" x14ac:dyDescent="0.2">
      <c r="B71">
        <v>2013</v>
      </c>
      <c r="F71" s="81">
        <v>817646</v>
      </c>
      <c r="G71" s="81">
        <f t="shared" si="3"/>
        <v>227.1420588</v>
      </c>
      <c r="H71" s="81"/>
      <c r="I71" s="81"/>
      <c r="J71">
        <v>22.776</v>
      </c>
    </row>
    <row r="72" spans="2:10" x14ac:dyDescent="0.2">
      <c r="B72">
        <v>2014</v>
      </c>
      <c r="F72" s="81">
        <v>744676</v>
      </c>
      <c r="G72" s="81">
        <f t="shared" si="3"/>
        <v>206.87099280000001</v>
      </c>
      <c r="H72" s="81"/>
      <c r="I72" s="81"/>
      <c r="J72">
        <v>21.669</v>
      </c>
    </row>
    <row r="73" spans="2:10" x14ac:dyDescent="0.2">
      <c r="B73">
        <v>2015</v>
      </c>
      <c r="F73" s="81">
        <v>811498</v>
      </c>
      <c r="G73" s="81">
        <f t="shared" si="3"/>
        <v>225.43414440000001</v>
      </c>
      <c r="H73" s="81"/>
      <c r="I73" s="81"/>
      <c r="J73">
        <v>22.536000000000001</v>
      </c>
    </row>
    <row r="74" spans="2:10" x14ac:dyDescent="0.2">
      <c r="B74">
        <v>2016</v>
      </c>
      <c r="F74" s="81">
        <v>863905</v>
      </c>
      <c r="G74" s="81">
        <f t="shared" si="3"/>
        <v>239.99280899999999</v>
      </c>
      <c r="H74" s="81"/>
      <c r="I74" s="81"/>
      <c r="J74">
        <v>21.44</v>
      </c>
    </row>
    <row r="75" spans="2:10" x14ac:dyDescent="0.2">
      <c r="B75">
        <v>2017</v>
      </c>
      <c r="F75" s="81">
        <v>926115</v>
      </c>
      <c r="G75" s="81">
        <f t="shared" si="3"/>
        <v>257.27474699999999</v>
      </c>
      <c r="H75" s="81"/>
      <c r="I75" s="81"/>
      <c r="J75">
        <v>21.690999999999999</v>
      </c>
    </row>
    <row r="76" spans="2:10" x14ac:dyDescent="0.2">
      <c r="B76">
        <v>2018</v>
      </c>
      <c r="F76" s="81">
        <v>918433</v>
      </c>
      <c r="G76" s="81">
        <f t="shared" si="3"/>
        <v>255.14068739999999</v>
      </c>
      <c r="H76" s="81"/>
      <c r="I76" s="81"/>
      <c r="J76">
        <v>21.006</v>
      </c>
    </row>
    <row r="77" spans="2:10" x14ac:dyDescent="0.2">
      <c r="B77">
        <v>2019</v>
      </c>
      <c r="F77" s="81">
        <v>898047</v>
      </c>
      <c r="G77" s="81">
        <f t="shared" si="3"/>
        <v>249.47745660000001</v>
      </c>
      <c r="H77" s="81"/>
      <c r="I77" s="81"/>
      <c r="J77">
        <v>20.614999999999998</v>
      </c>
    </row>
    <row r="78" spans="2:10" x14ac:dyDescent="0.2">
      <c r="B78">
        <v>2020</v>
      </c>
      <c r="F78" s="81">
        <v>885817</v>
      </c>
      <c r="G78" s="81">
        <f t="shared" si="3"/>
        <v>246.07996260000002</v>
      </c>
      <c r="H78" s="81"/>
      <c r="I78" s="81"/>
      <c r="J78">
        <v>19.245999999999999</v>
      </c>
    </row>
    <row r="79" spans="2:10" x14ac:dyDescent="0.2">
      <c r="B79">
        <v>2021</v>
      </c>
      <c r="F79" s="81">
        <v>913908</v>
      </c>
      <c r="G79" s="81">
        <f t="shared" si="3"/>
        <v>253.88364239999999</v>
      </c>
      <c r="H79" s="81"/>
      <c r="I79" s="81"/>
      <c r="J79">
        <v>20.391999999999999</v>
      </c>
    </row>
    <row r="80" spans="2:10" x14ac:dyDescent="0.2">
      <c r="B80">
        <v>2022</v>
      </c>
      <c r="F80" s="81">
        <v>918817</v>
      </c>
      <c r="G80" s="81">
        <f t="shared" si="3"/>
        <v>255.2473626</v>
      </c>
      <c r="H80" s="81"/>
      <c r="I80" s="81"/>
      <c r="J80">
        <v>20.998000000000001</v>
      </c>
    </row>
    <row r="81" spans="2:10" x14ac:dyDescent="0.2">
      <c r="B81">
        <v>2023</v>
      </c>
      <c r="F81" s="81">
        <v>847955</v>
      </c>
      <c r="G81" s="81">
        <f t="shared" si="3"/>
        <v>235.56189899999998</v>
      </c>
      <c r="H81" s="81"/>
      <c r="I81" s="81"/>
      <c r="J81">
        <v>20.059999999999999</v>
      </c>
    </row>
  </sheetData>
  <mergeCells count="3">
    <mergeCell ref="C9:D9"/>
    <mergeCell ref="F9:H9"/>
    <mergeCell ref="I9:J9"/>
  </mergeCells>
  <phoneticPr fontId="25" type="noConversion"/>
  <pageMargins left="0.7" right="0.7" top="0.75" bottom="0.75" header="0.3" footer="0.3"/>
  <pageSetup paperSize="9" orientation="portrait" horizontalDpi="0" verticalDpi="0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7CE6-ED3E-8543-ACB0-5B2F75044EC9}">
  <sheetPr filterMode="1">
    <tabColor theme="7" tint="-0.499984740745262"/>
  </sheetPr>
  <dimension ref="A1:D1944"/>
  <sheetViews>
    <sheetView topLeftCell="A1139" zoomScale="80" zoomScaleNormal="80" workbookViewId="0">
      <selection activeCell="D1116" sqref="D1116"/>
    </sheetView>
  </sheetViews>
  <sheetFormatPr baseColWidth="10" defaultColWidth="11.3984375" defaultRowHeight="14" x14ac:dyDescent="0.2"/>
  <sheetData>
    <row r="1" spans="1:4" x14ac:dyDescent="0.2">
      <c r="A1" t="s">
        <v>353</v>
      </c>
      <c r="B1" t="s">
        <v>376</v>
      </c>
      <c r="C1" t="s">
        <v>377</v>
      </c>
      <c r="D1" t="s">
        <v>378</v>
      </c>
    </row>
    <row r="2" spans="1:4" hidden="1" x14ac:dyDescent="0.2">
      <c r="A2">
        <v>2005</v>
      </c>
      <c r="B2" t="s">
        <v>379</v>
      </c>
      <c r="D2">
        <v>914</v>
      </c>
    </row>
    <row r="3" spans="1:4" hidden="1" x14ac:dyDescent="0.2">
      <c r="A3">
        <v>2005</v>
      </c>
      <c r="B3" t="s">
        <v>380</v>
      </c>
      <c r="D3">
        <v>23</v>
      </c>
    </row>
    <row r="4" spans="1:4" hidden="1" x14ac:dyDescent="0.2">
      <c r="A4">
        <v>2005</v>
      </c>
      <c r="B4" t="s">
        <v>381</v>
      </c>
      <c r="D4">
        <v>2025</v>
      </c>
    </row>
    <row r="5" spans="1:4" hidden="1" x14ac:dyDescent="0.2">
      <c r="A5">
        <v>2005</v>
      </c>
      <c r="B5" t="s">
        <v>382</v>
      </c>
      <c r="D5">
        <v>137</v>
      </c>
    </row>
    <row r="6" spans="1:4" hidden="1" x14ac:dyDescent="0.2">
      <c r="A6">
        <v>2005</v>
      </c>
      <c r="B6" t="s">
        <v>383</v>
      </c>
      <c r="D6">
        <v>15351</v>
      </c>
    </row>
    <row r="7" spans="1:4" hidden="1" x14ac:dyDescent="0.2">
      <c r="A7">
        <v>2005</v>
      </c>
      <c r="B7" t="s">
        <v>384</v>
      </c>
      <c r="D7">
        <v>68</v>
      </c>
    </row>
    <row r="8" spans="1:4" hidden="1" x14ac:dyDescent="0.2">
      <c r="A8">
        <v>2005</v>
      </c>
      <c r="B8" t="s">
        <v>385</v>
      </c>
      <c r="D8">
        <v>7</v>
      </c>
    </row>
    <row r="9" spans="1:4" hidden="1" x14ac:dyDescent="0.2">
      <c r="A9">
        <v>2005</v>
      </c>
      <c r="B9" t="s">
        <v>386</v>
      </c>
      <c r="D9">
        <v>3699</v>
      </c>
    </row>
    <row r="10" spans="1:4" hidden="1" x14ac:dyDescent="0.2">
      <c r="A10">
        <v>2005</v>
      </c>
      <c r="B10" t="s">
        <v>387</v>
      </c>
      <c r="D10">
        <v>422</v>
      </c>
    </row>
    <row r="11" spans="1:4" hidden="1" x14ac:dyDescent="0.2">
      <c r="A11">
        <v>2005</v>
      </c>
      <c r="B11" t="s">
        <v>388</v>
      </c>
      <c r="D11">
        <v>696</v>
      </c>
    </row>
    <row r="12" spans="1:4" hidden="1" x14ac:dyDescent="0.2">
      <c r="A12">
        <v>2005</v>
      </c>
      <c r="B12" t="s">
        <v>389</v>
      </c>
      <c r="D12">
        <v>817</v>
      </c>
    </row>
    <row r="13" spans="1:4" hidden="1" x14ac:dyDescent="0.2">
      <c r="A13">
        <v>2005</v>
      </c>
      <c r="B13" t="s">
        <v>390</v>
      </c>
      <c r="D13">
        <v>2065</v>
      </c>
    </row>
    <row r="14" spans="1:4" hidden="1" x14ac:dyDescent="0.2">
      <c r="A14">
        <v>2005</v>
      </c>
      <c r="B14" t="s">
        <v>391</v>
      </c>
      <c r="D14">
        <v>30</v>
      </c>
    </row>
    <row r="15" spans="1:4" hidden="1" x14ac:dyDescent="0.2">
      <c r="A15">
        <v>2005</v>
      </c>
      <c r="B15" t="s">
        <v>392</v>
      </c>
      <c r="D15">
        <v>129</v>
      </c>
    </row>
    <row r="16" spans="1:4" hidden="1" x14ac:dyDescent="0.2">
      <c r="A16">
        <v>2005</v>
      </c>
      <c r="B16" t="s">
        <v>393</v>
      </c>
      <c r="D16">
        <v>166</v>
      </c>
    </row>
    <row r="17" spans="1:4" hidden="1" x14ac:dyDescent="0.2">
      <c r="A17">
        <v>2005</v>
      </c>
      <c r="B17" t="s">
        <v>394</v>
      </c>
      <c r="D17">
        <v>382</v>
      </c>
    </row>
    <row r="18" spans="1:4" hidden="1" x14ac:dyDescent="0.2">
      <c r="A18">
        <v>2005</v>
      </c>
      <c r="B18" t="s">
        <v>395</v>
      </c>
      <c r="D18">
        <v>7243</v>
      </c>
    </row>
    <row r="19" spans="1:4" hidden="1" x14ac:dyDescent="0.2">
      <c r="A19">
        <v>2005</v>
      </c>
      <c r="B19" t="s">
        <v>396</v>
      </c>
      <c r="D19">
        <v>6</v>
      </c>
    </row>
    <row r="20" spans="1:4" hidden="1" x14ac:dyDescent="0.2">
      <c r="A20">
        <v>2005</v>
      </c>
      <c r="B20" t="s">
        <v>397</v>
      </c>
      <c r="D20">
        <v>47816</v>
      </c>
    </row>
    <row r="21" spans="1:4" hidden="1" x14ac:dyDescent="0.2">
      <c r="A21">
        <v>2005</v>
      </c>
      <c r="B21" t="s">
        <v>398</v>
      </c>
      <c r="D21">
        <v>41650</v>
      </c>
    </row>
    <row r="22" spans="1:4" hidden="1" x14ac:dyDescent="0.2">
      <c r="A22">
        <v>2005</v>
      </c>
      <c r="B22" t="s">
        <v>399</v>
      </c>
      <c r="D22">
        <v>20</v>
      </c>
    </row>
    <row r="23" spans="1:4" hidden="1" x14ac:dyDescent="0.2">
      <c r="A23">
        <v>2005</v>
      </c>
      <c r="B23" t="s">
        <v>400</v>
      </c>
      <c r="D23">
        <v>1952</v>
      </c>
    </row>
    <row r="24" spans="1:4" hidden="1" x14ac:dyDescent="0.2">
      <c r="A24">
        <v>2005</v>
      </c>
      <c r="B24" t="s">
        <v>401</v>
      </c>
      <c r="D24">
        <v>41</v>
      </c>
    </row>
    <row r="25" spans="1:4" hidden="1" x14ac:dyDescent="0.2">
      <c r="A25">
        <v>2005</v>
      </c>
      <c r="B25" t="s">
        <v>402</v>
      </c>
      <c r="D25">
        <v>12079</v>
      </c>
    </row>
    <row r="26" spans="1:4" hidden="1" x14ac:dyDescent="0.2">
      <c r="A26">
        <v>2005</v>
      </c>
      <c r="B26" t="s">
        <v>403</v>
      </c>
      <c r="D26">
        <v>53</v>
      </c>
    </row>
    <row r="27" spans="1:4" hidden="1" x14ac:dyDescent="0.2">
      <c r="A27">
        <v>2005</v>
      </c>
      <c r="B27" t="s">
        <v>404</v>
      </c>
      <c r="D27">
        <v>6</v>
      </c>
    </row>
    <row r="28" spans="1:4" hidden="1" x14ac:dyDescent="0.2">
      <c r="A28">
        <v>2005</v>
      </c>
      <c r="B28" t="s">
        <v>405</v>
      </c>
      <c r="D28">
        <v>280</v>
      </c>
    </row>
    <row r="29" spans="1:4" hidden="1" x14ac:dyDescent="0.2">
      <c r="A29">
        <v>2005</v>
      </c>
      <c r="B29" t="s">
        <v>406</v>
      </c>
      <c r="D29">
        <v>64</v>
      </c>
    </row>
    <row r="30" spans="1:4" hidden="1" x14ac:dyDescent="0.2">
      <c r="A30">
        <v>2005</v>
      </c>
      <c r="B30" t="s">
        <v>407</v>
      </c>
      <c r="D30">
        <v>108</v>
      </c>
    </row>
    <row r="31" spans="1:4" hidden="1" x14ac:dyDescent="0.2">
      <c r="A31">
        <v>2005</v>
      </c>
      <c r="B31" t="s">
        <v>408</v>
      </c>
      <c r="D31">
        <v>78</v>
      </c>
    </row>
    <row r="32" spans="1:4" hidden="1" x14ac:dyDescent="0.2">
      <c r="A32">
        <v>2005</v>
      </c>
      <c r="B32" t="s">
        <v>409</v>
      </c>
      <c r="D32">
        <v>19998</v>
      </c>
    </row>
    <row r="33" spans="1:4" hidden="1" x14ac:dyDescent="0.2">
      <c r="A33">
        <v>2005</v>
      </c>
      <c r="B33" t="s">
        <v>410</v>
      </c>
      <c r="D33">
        <v>27230</v>
      </c>
    </row>
    <row r="34" spans="1:4" hidden="1" x14ac:dyDescent="0.2">
      <c r="A34">
        <v>2005</v>
      </c>
      <c r="B34" t="s">
        <v>411</v>
      </c>
      <c r="D34">
        <v>9</v>
      </c>
    </row>
    <row r="35" spans="1:4" hidden="1" x14ac:dyDescent="0.2">
      <c r="A35">
        <v>2005</v>
      </c>
      <c r="B35" t="s">
        <v>412</v>
      </c>
      <c r="D35">
        <v>547</v>
      </c>
    </row>
    <row r="36" spans="1:4" hidden="1" x14ac:dyDescent="0.2">
      <c r="A36">
        <v>2005</v>
      </c>
      <c r="B36" t="s">
        <v>413</v>
      </c>
      <c r="D36">
        <v>5</v>
      </c>
    </row>
    <row r="37" spans="1:4" hidden="1" x14ac:dyDescent="0.2">
      <c r="A37">
        <v>2005</v>
      </c>
      <c r="B37" t="s">
        <v>414</v>
      </c>
      <c r="D37">
        <v>29416</v>
      </c>
    </row>
    <row r="38" spans="1:4" hidden="1" x14ac:dyDescent="0.2">
      <c r="A38">
        <v>2005</v>
      </c>
      <c r="B38" t="s">
        <v>415</v>
      </c>
      <c r="D38">
        <v>6</v>
      </c>
    </row>
    <row r="39" spans="1:4" hidden="1" x14ac:dyDescent="0.2">
      <c r="A39">
        <v>2005</v>
      </c>
      <c r="B39" t="s">
        <v>416</v>
      </c>
      <c r="D39">
        <v>93</v>
      </c>
    </row>
    <row r="40" spans="1:4" hidden="1" x14ac:dyDescent="0.2">
      <c r="A40">
        <v>2005</v>
      </c>
      <c r="B40" t="s">
        <v>417</v>
      </c>
      <c r="D40">
        <v>65368</v>
      </c>
    </row>
    <row r="41" spans="1:4" hidden="1" x14ac:dyDescent="0.2">
      <c r="A41">
        <v>2005</v>
      </c>
      <c r="B41" t="s">
        <v>418</v>
      </c>
      <c r="D41">
        <v>2319</v>
      </c>
    </row>
    <row r="42" spans="1:4" hidden="1" x14ac:dyDescent="0.2">
      <c r="A42">
        <v>2005</v>
      </c>
      <c r="B42" t="s">
        <v>419</v>
      </c>
      <c r="D42">
        <v>50</v>
      </c>
    </row>
    <row r="43" spans="1:4" hidden="1" x14ac:dyDescent="0.2">
      <c r="A43">
        <v>2005</v>
      </c>
      <c r="B43" t="s">
        <v>420</v>
      </c>
      <c r="D43">
        <v>7</v>
      </c>
    </row>
    <row r="44" spans="1:4" hidden="1" x14ac:dyDescent="0.2">
      <c r="A44">
        <v>2005</v>
      </c>
      <c r="B44" t="s">
        <v>421</v>
      </c>
      <c r="D44">
        <v>1060</v>
      </c>
    </row>
    <row r="45" spans="1:4" hidden="1" x14ac:dyDescent="0.2">
      <c r="A45">
        <v>2005</v>
      </c>
      <c r="B45" t="s">
        <v>422</v>
      </c>
      <c r="D45">
        <v>2033</v>
      </c>
    </row>
    <row r="46" spans="1:4" hidden="1" x14ac:dyDescent="0.2">
      <c r="A46">
        <v>2005</v>
      </c>
      <c r="B46" t="s">
        <v>423</v>
      </c>
      <c r="D46">
        <v>763</v>
      </c>
    </row>
    <row r="47" spans="1:4" hidden="1" x14ac:dyDescent="0.2">
      <c r="A47">
        <v>2005</v>
      </c>
      <c r="B47" t="s">
        <v>424</v>
      </c>
      <c r="D47">
        <v>4612</v>
      </c>
    </row>
    <row r="48" spans="1:4" hidden="1" x14ac:dyDescent="0.2">
      <c r="A48">
        <v>2005</v>
      </c>
      <c r="B48" t="s">
        <v>425</v>
      </c>
      <c r="D48">
        <v>3430</v>
      </c>
    </row>
    <row r="49" spans="1:4" hidden="1" x14ac:dyDescent="0.2">
      <c r="A49">
        <v>2005</v>
      </c>
      <c r="B49" t="s">
        <v>426</v>
      </c>
      <c r="D49">
        <v>104</v>
      </c>
    </row>
    <row r="50" spans="1:4" hidden="1" x14ac:dyDescent="0.2">
      <c r="A50">
        <v>2005</v>
      </c>
      <c r="B50" t="s">
        <v>427</v>
      </c>
      <c r="D50">
        <v>416</v>
      </c>
    </row>
    <row r="51" spans="1:4" hidden="1" x14ac:dyDescent="0.2">
      <c r="A51">
        <v>2005</v>
      </c>
      <c r="B51" t="s">
        <v>428</v>
      </c>
      <c r="D51">
        <v>1597</v>
      </c>
    </row>
    <row r="52" spans="1:4" hidden="1" x14ac:dyDescent="0.2">
      <c r="A52">
        <v>2005</v>
      </c>
      <c r="B52" t="s">
        <v>429</v>
      </c>
      <c r="D52">
        <v>233</v>
      </c>
    </row>
    <row r="53" spans="1:4" hidden="1" x14ac:dyDescent="0.2">
      <c r="A53">
        <v>2005</v>
      </c>
      <c r="B53" t="s">
        <v>430</v>
      </c>
      <c r="D53">
        <v>425</v>
      </c>
    </row>
    <row r="54" spans="1:4" hidden="1" x14ac:dyDescent="0.2">
      <c r="A54">
        <v>2005</v>
      </c>
      <c r="B54" t="s">
        <v>431</v>
      </c>
      <c r="D54">
        <v>93</v>
      </c>
    </row>
    <row r="55" spans="1:4" hidden="1" x14ac:dyDescent="0.2">
      <c r="A55">
        <v>2005</v>
      </c>
      <c r="B55" t="s">
        <v>432</v>
      </c>
      <c r="D55">
        <v>6351</v>
      </c>
    </row>
    <row r="56" spans="1:4" hidden="1" x14ac:dyDescent="0.2">
      <c r="A56">
        <v>2005</v>
      </c>
      <c r="B56" t="s">
        <v>433</v>
      </c>
      <c r="D56">
        <v>8</v>
      </c>
    </row>
    <row r="57" spans="1:4" hidden="1" x14ac:dyDescent="0.2">
      <c r="A57">
        <v>2005</v>
      </c>
      <c r="B57" t="s">
        <v>434</v>
      </c>
      <c r="D57">
        <v>7200</v>
      </c>
    </row>
    <row r="58" spans="1:4" hidden="1" x14ac:dyDescent="0.2">
      <c r="A58">
        <v>2005</v>
      </c>
      <c r="B58" t="s">
        <v>435</v>
      </c>
      <c r="D58">
        <v>120560</v>
      </c>
    </row>
    <row r="59" spans="1:4" hidden="1" x14ac:dyDescent="0.2">
      <c r="A59">
        <v>2005</v>
      </c>
      <c r="B59" t="s">
        <v>436</v>
      </c>
      <c r="D59">
        <v>34</v>
      </c>
    </row>
    <row r="60" spans="1:4" hidden="1" x14ac:dyDescent="0.2">
      <c r="A60">
        <v>2005</v>
      </c>
      <c r="B60" t="s">
        <v>437</v>
      </c>
      <c r="D60">
        <v>2923</v>
      </c>
    </row>
    <row r="61" spans="1:4" hidden="1" x14ac:dyDescent="0.2">
      <c r="A61">
        <v>2005</v>
      </c>
      <c r="B61" t="s">
        <v>438</v>
      </c>
      <c r="D61">
        <v>5366</v>
      </c>
    </row>
    <row r="62" spans="1:4" hidden="1" x14ac:dyDescent="0.2">
      <c r="A62">
        <v>2006</v>
      </c>
      <c r="B62" t="s">
        <v>379</v>
      </c>
      <c r="D62">
        <v>866</v>
      </c>
    </row>
    <row r="63" spans="1:4" hidden="1" x14ac:dyDescent="0.2">
      <c r="A63">
        <v>2006</v>
      </c>
      <c r="B63" t="s">
        <v>380</v>
      </c>
      <c r="D63">
        <v>34</v>
      </c>
    </row>
    <row r="64" spans="1:4" hidden="1" x14ac:dyDescent="0.2">
      <c r="A64">
        <v>2006</v>
      </c>
      <c r="B64" t="s">
        <v>381</v>
      </c>
      <c r="D64">
        <v>2386</v>
      </c>
    </row>
    <row r="65" spans="1:4" hidden="1" x14ac:dyDescent="0.2">
      <c r="A65">
        <v>2006</v>
      </c>
      <c r="B65" t="s">
        <v>382</v>
      </c>
      <c r="D65">
        <v>155</v>
      </c>
    </row>
    <row r="66" spans="1:4" hidden="1" x14ac:dyDescent="0.2">
      <c r="A66">
        <v>2006</v>
      </c>
      <c r="B66" t="s">
        <v>383</v>
      </c>
      <c r="D66">
        <v>16527</v>
      </c>
    </row>
    <row r="67" spans="1:4" hidden="1" x14ac:dyDescent="0.2">
      <c r="A67">
        <v>2006</v>
      </c>
      <c r="B67" t="s">
        <v>384</v>
      </c>
      <c r="D67">
        <v>103</v>
      </c>
    </row>
    <row r="68" spans="1:4" hidden="1" x14ac:dyDescent="0.2">
      <c r="A68">
        <v>2006</v>
      </c>
      <c r="B68" t="s">
        <v>385</v>
      </c>
      <c r="D68">
        <v>5</v>
      </c>
    </row>
    <row r="69" spans="1:4" hidden="1" x14ac:dyDescent="0.2">
      <c r="A69">
        <v>2006</v>
      </c>
      <c r="B69" t="s">
        <v>439</v>
      </c>
      <c r="D69">
        <v>269</v>
      </c>
    </row>
    <row r="70" spans="1:4" hidden="1" x14ac:dyDescent="0.2">
      <c r="A70">
        <v>2006</v>
      </c>
      <c r="B70" t="s">
        <v>386</v>
      </c>
      <c r="D70">
        <v>6251</v>
      </c>
    </row>
    <row r="71" spans="1:4" hidden="1" x14ac:dyDescent="0.2">
      <c r="A71">
        <v>2006</v>
      </c>
      <c r="B71" t="s">
        <v>387</v>
      </c>
      <c r="D71">
        <v>576</v>
      </c>
    </row>
    <row r="72" spans="1:4" hidden="1" x14ac:dyDescent="0.2">
      <c r="A72">
        <v>2006</v>
      </c>
      <c r="B72" t="s">
        <v>388</v>
      </c>
      <c r="D72">
        <v>514</v>
      </c>
    </row>
    <row r="73" spans="1:4" hidden="1" x14ac:dyDescent="0.2">
      <c r="A73">
        <v>2006</v>
      </c>
      <c r="B73" t="s">
        <v>389</v>
      </c>
      <c r="D73">
        <v>487</v>
      </c>
    </row>
    <row r="74" spans="1:4" hidden="1" x14ac:dyDescent="0.2">
      <c r="A74">
        <v>2006</v>
      </c>
      <c r="B74" t="s">
        <v>390</v>
      </c>
      <c r="D74">
        <v>1769</v>
      </c>
    </row>
    <row r="75" spans="1:4" hidden="1" x14ac:dyDescent="0.2">
      <c r="A75">
        <v>2006</v>
      </c>
      <c r="B75" t="s">
        <v>391</v>
      </c>
      <c r="D75">
        <v>24</v>
      </c>
    </row>
    <row r="76" spans="1:4" hidden="1" x14ac:dyDescent="0.2">
      <c r="A76">
        <v>2006</v>
      </c>
      <c r="B76" t="s">
        <v>392</v>
      </c>
      <c r="D76">
        <v>21</v>
      </c>
    </row>
    <row r="77" spans="1:4" hidden="1" x14ac:dyDescent="0.2">
      <c r="A77">
        <v>2006</v>
      </c>
      <c r="B77" t="s">
        <v>440</v>
      </c>
      <c r="D77">
        <v>6</v>
      </c>
    </row>
    <row r="78" spans="1:4" hidden="1" x14ac:dyDescent="0.2">
      <c r="A78">
        <v>2006</v>
      </c>
      <c r="B78" t="s">
        <v>393</v>
      </c>
      <c r="D78">
        <v>178</v>
      </c>
    </row>
    <row r="79" spans="1:4" hidden="1" x14ac:dyDescent="0.2">
      <c r="A79">
        <v>2006</v>
      </c>
      <c r="B79" t="s">
        <v>394</v>
      </c>
      <c r="D79">
        <v>770</v>
      </c>
    </row>
    <row r="80" spans="1:4" hidden="1" x14ac:dyDescent="0.2">
      <c r="A80">
        <v>2006</v>
      </c>
      <c r="B80" t="s">
        <v>395</v>
      </c>
      <c r="D80">
        <v>6036</v>
      </c>
    </row>
    <row r="81" spans="1:4" hidden="1" x14ac:dyDescent="0.2">
      <c r="A81">
        <v>2006</v>
      </c>
      <c r="B81" t="s">
        <v>441</v>
      </c>
      <c r="D81">
        <v>19</v>
      </c>
    </row>
    <row r="82" spans="1:4" hidden="1" x14ac:dyDescent="0.2">
      <c r="A82">
        <v>2006</v>
      </c>
      <c r="B82" t="s">
        <v>396</v>
      </c>
      <c r="D82">
        <v>5</v>
      </c>
    </row>
    <row r="83" spans="1:4" hidden="1" x14ac:dyDescent="0.2">
      <c r="A83">
        <v>2006</v>
      </c>
      <c r="B83" t="s">
        <v>397</v>
      </c>
      <c r="D83">
        <v>53792</v>
      </c>
    </row>
    <row r="84" spans="1:4" hidden="1" x14ac:dyDescent="0.2">
      <c r="A84">
        <v>2006</v>
      </c>
      <c r="B84" t="s">
        <v>398</v>
      </c>
      <c r="D84">
        <v>45393</v>
      </c>
    </row>
    <row r="85" spans="1:4" hidden="1" x14ac:dyDescent="0.2">
      <c r="A85">
        <v>2006</v>
      </c>
      <c r="B85" t="s">
        <v>399</v>
      </c>
      <c r="D85">
        <v>19</v>
      </c>
    </row>
    <row r="86" spans="1:4" hidden="1" x14ac:dyDescent="0.2">
      <c r="A86">
        <v>2006</v>
      </c>
      <c r="B86" t="s">
        <v>400</v>
      </c>
      <c r="D86">
        <v>1862</v>
      </c>
    </row>
    <row r="87" spans="1:4" hidden="1" x14ac:dyDescent="0.2">
      <c r="A87">
        <v>2006</v>
      </c>
      <c r="B87" t="s">
        <v>401</v>
      </c>
      <c r="D87">
        <v>63</v>
      </c>
    </row>
    <row r="88" spans="1:4" hidden="1" x14ac:dyDescent="0.2">
      <c r="A88">
        <v>2006</v>
      </c>
      <c r="B88" t="s">
        <v>402</v>
      </c>
      <c r="D88">
        <v>15558</v>
      </c>
    </row>
    <row r="89" spans="1:4" hidden="1" x14ac:dyDescent="0.2">
      <c r="A89">
        <v>2006</v>
      </c>
      <c r="B89" t="s">
        <v>403</v>
      </c>
      <c r="D89">
        <v>80</v>
      </c>
    </row>
    <row r="90" spans="1:4" hidden="1" x14ac:dyDescent="0.2">
      <c r="A90">
        <v>2006</v>
      </c>
      <c r="B90" t="s">
        <v>404</v>
      </c>
      <c r="D90">
        <v>6</v>
      </c>
    </row>
    <row r="91" spans="1:4" hidden="1" x14ac:dyDescent="0.2">
      <c r="A91">
        <v>2006</v>
      </c>
      <c r="B91" t="s">
        <v>405</v>
      </c>
      <c r="D91">
        <v>257</v>
      </c>
    </row>
    <row r="92" spans="1:4" hidden="1" x14ac:dyDescent="0.2">
      <c r="A92">
        <v>2006</v>
      </c>
      <c r="B92" t="s">
        <v>406</v>
      </c>
      <c r="D92">
        <v>70</v>
      </c>
    </row>
    <row r="93" spans="1:4" hidden="1" x14ac:dyDescent="0.2">
      <c r="A93">
        <v>2006</v>
      </c>
      <c r="B93" t="s">
        <v>407</v>
      </c>
      <c r="D93">
        <v>130</v>
      </c>
    </row>
    <row r="94" spans="1:4" hidden="1" x14ac:dyDescent="0.2">
      <c r="A94">
        <v>2006</v>
      </c>
      <c r="B94" t="s">
        <v>408</v>
      </c>
      <c r="D94">
        <v>105</v>
      </c>
    </row>
    <row r="95" spans="1:4" hidden="1" x14ac:dyDescent="0.2">
      <c r="A95">
        <v>2006</v>
      </c>
      <c r="B95" t="s">
        <v>409</v>
      </c>
      <c r="D95">
        <v>21161</v>
      </c>
    </row>
    <row r="96" spans="1:4" hidden="1" x14ac:dyDescent="0.2">
      <c r="A96">
        <v>2006</v>
      </c>
      <c r="B96" t="s">
        <v>410</v>
      </c>
      <c r="D96">
        <v>25150</v>
      </c>
    </row>
    <row r="97" spans="1:4" hidden="1" x14ac:dyDescent="0.2">
      <c r="A97">
        <v>2006</v>
      </c>
      <c r="B97" t="s">
        <v>411</v>
      </c>
      <c r="D97">
        <v>9</v>
      </c>
    </row>
    <row r="98" spans="1:4" hidden="1" x14ac:dyDescent="0.2">
      <c r="A98">
        <v>2006</v>
      </c>
      <c r="B98" t="s">
        <v>412</v>
      </c>
      <c r="D98">
        <v>744</v>
      </c>
    </row>
    <row r="99" spans="1:4" hidden="1" x14ac:dyDescent="0.2">
      <c r="A99">
        <v>2006</v>
      </c>
      <c r="B99" t="s">
        <v>413</v>
      </c>
      <c r="D99">
        <v>5</v>
      </c>
    </row>
    <row r="100" spans="1:4" hidden="1" x14ac:dyDescent="0.2">
      <c r="A100">
        <v>2006</v>
      </c>
      <c r="B100" t="s">
        <v>414</v>
      </c>
      <c r="D100">
        <v>31264</v>
      </c>
    </row>
    <row r="101" spans="1:4" hidden="1" x14ac:dyDescent="0.2">
      <c r="A101">
        <v>2006</v>
      </c>
      <c r="B101" t="s">
        <v>415</v>
      </c>
      <c r="D101">
        <v>6</v>
      </c>
    </row>
    <row r="102" spans="1:4" hidden="1" x14ac:dyDescent="0.2">
      <c r="A102">
        <v>2006</v>
      </c>
      <c r="B102" t="s">
        <v>416</v>
      </c>
      <c r="D102">
        <v>99</v>
      </c>
    </row>
    <row r="103" spans="1:4" hidden="1" x14ac:dyDescent="0.2">
      <c r="A103">
        <v>2006</v>
      </c>
      <c r="B103" t="s">
        <v>417</v>
      </c>
      <c r="D103">
        <v>64904</v>
      </c>
    </row>
    <row r="104" spans="1:4" hidden="1" x14ac:dyDescent="0.2">
      <c r="A104">
        <v>2006</v>
      </c>
      <c r="B104" t="s">
        <v>418</v>
      </c>
      <c r="D104">
        <v>2142</v>
      </c>
    </row>
    <row r="105" spans="1:4" hidden="1" x14ac:dyDescent="0.2">
      <c r="A105">
        <v>2006</v>
      </c>
      <c r="B105" t="s">
        <v>419</v>
      </c>
      <c r="D105">
        <v>64</v>
      </c>
    </row>
    <row r="106" spans="1:4" hidden="1" x14ac:dyDescent="0.2">
      <c r="A106">
        <v>2006</v>
      </c>
      <c r="B106" t="s">
        <v>420</v>
      </c>
      <c r="D106">
        <v>7</v>
      </c>
    </row>
    <row r="107" spans="1:4" hidden="1" x14ac:dyDescent="0.2">
      <c r="A107">
        <v>2006</v>
      </c>
      <c r="B107" t="s">
        <v>421</v>
      </c>
      <c r="D107">
        <v>1446</v>
      </c>
    </row>
    <row r="108" spans="1:4" hidden="1" x14ac:dyDescent="0.2">
      <c r="A108">
        <v>2006</v>
      </c>
      <c r="B108" t="s">
        <v>422</v>
      </c>
      <c r="D108">
        <v>2202</v>
      </c>
    </row>
    <row r="109" spans="1:4" hidden="1" x14ac:dyDescent="0.2">
      <c r="A109">
        <v>2006</v>
      </c>
      <c r="B109" t="s">
        <v>423</v>
      </c>
      <c r="D109">
        <v>912</v>
      </c>
    </row>
    <row r="110" spans="1:4" hidden="1" x14ac:dyDescent="0.2">
      <c r="A110">
        <v>2006</v>
      </c>
      <c r="B110" t="s">
        <v>424</v>
      </c>
      <c r="D110">
        <v>4630</v>
      </c>
    </row>
    <row r="111" spans="1:4" hidden="1" x14ac:dyDescent="0.2">
      <c r="A111">
        <v>2006</v>
      </c>
      <c r="B111" t="s">
        <v>425</v>
      </c>
      <c r="D111">
        <v>3139</v>
      </c>
    </row>
    <row r="112" spans="1:4" hidden="1" x14ac:dyDescent="0.2">
      <c r="A112">
        <v>2006</v>
      </c>
      <c r="B112" t="s">
        <v>426</v>
      </c>
      <c r="D112">
        <v>116</v>
      </c>
    </row>
    <row r="113" spans="1:4" hidden="1" x14ac:dyDescent="0.2">
      <c r="A113">
        <v>2006</v>
      </c>
      <c r="B113" t="s">
        <v>427</v>
      </c>
      <c r="D113">
        <v>212</v>
      </c>
    </row>
    <row r="114" spans="1:4" hidden="1" x14ac:dyDescent="0.2">
      <c r="A114">
        <v>2006</v>
      </c>
      <c r="B114" t="s">
        <v>428</v>
      </c>
      <c r="D114">
        <v>1588</v>
      </c>
    </row>
    <row r="115" spans="1:4" hidden="1" x14ac:dyDescent="0.2">
      <c r="A115">
        <v>2006</v>
      </c>
      <c r="B115" t="s">
        <v>429</v>
      </c>
      <c r="D115">
        <v>113</v>
      </c>
    </row>
    <row r="116" spans="1:4" hidden="1" x14ac:dyDescent="0.2">
      <c r="A116">
        <v>2006</v>
      </c>
      <c r="B116" t="s">
        <v>430</v>
      </c>
      <c r="D116">
        <v>372</v>
      </c>
    </row>
    <row r="117" spans="1:4" hidden="1" x14ac:dyDescent="0.2">
      <c r="A117">
        <v>2006</v>
      </c>
      <c r="B117" t="s">
        <v>431</v>
      </c>
      <c r="D117">
        <v>133</v>
      </c>
    </row>
    <row r="118" spans="1:4" hidden="1" x14ac:dyDescent="0.2">
      <c r="A118">
        <v>2006</v>
      </c>
      <c r="B118" t="s">
        <v>432</v>
      </c>
      <c r="D118">
        <v>7600</v>
      </c>
    </row>
    <row r="119" spans="1:4" hidden="1" x14ac:dyDescent="0.2">
      <c r="A119">
        <v>2006</v>
      </c>
      <c r="B119" t="s">
        <v>433</v>
      </c>
      <c r="D119">
        <v>8</v>
      </c>
    </row>
    <row r="120" spans="1:4" hidden="1" x14ac:dyDescent="0.2">
      <c r="A120">
        <v>2006</v>
      </c>
      <c r="B120" t="s">
        <v>434</v>
      </c>
      <c r="D120">
        <v>8201</v>
      </c>
    </row>
    <row r="121" spans="1:4" hidden="1" x14ac:dyDescent="0.2">
      <c r="A121">
        <v>2006</v>
      </c>
      <c r="B121" t="s">
        <v>442</v>
      </c>
      <c r="D121">
        <v>5</v>
      </c>
    </row>
    <row r="122" spans="1:4" hidden="1" x14ac:dyDescent="0.2">
      <c r="A122">
        <v>2006</v>
      </c>
      <c r="B122" t="s">
        <v>435</v>
      </c>
      <c r="D122">
        <v>135799</v>
      </c>
    </row>
    <row r="123" spans="1:4" hidden="1" x14ac:dyDescent="0.2">
      <c r="A123">
        <v>2006</v>
      </c>
      <c r="B123" t="s">
        <v>436</v>
      </c>
      <c r="D123">
        <v>34</v>
      </c>
    </row>
    <row r="124" spans="1:4" hidden="1" x14ac:dyDescent="0.2">
      <c r="A124">
        <v>2006</v>
      </c>
      <c r="B124" t="s">
        <v>437</v>
      </c>
      <c r="D124">
        <v>2900</v>
      </c>
    </row>
    <row r="125" spans="1:4" hidden="1" x14ac:dyDescent="0.2">
      <c r="A125">
        <v>2006</v>
      </c>
      <c r="B125" t="s">
        <v>438</v>
      </c>
      <c r="D125">
        <v>5416</v>
      </c>
    </row>
    <row r="126" spans="1:4" hidden="1" x14ac:dyDescent="0.2">
      <c r="A126">
        <v>2007</v>
      </c>
      <c r="B126" t="s">
        <v>379</v>
      </c>
      <c r="D126">
        <v>900</v>
      </c>
    </row>
    <row r="127" spans="1:4" hidden="1" x14ac:dyDescent="0.2">
      <c r="A127">
        <v>2007</v>
      </c>
      <c r="B127" t="s">
        <v>380</v>
      </c>
      <c r="D127">
        <v>54</v>
      </c>
    </row>
    <row r="128" spans="1:4" hidden="1" x14ac:dyDescent="0.2">
      <c r="A128">
        <v>2007</v>
      </c>
      <c r="B128" t="s">
        <v>381</v>
      </c>
      <c r="D128">
        <v>3115</v>
      </c>
    </row>
    <row r="129" spans="1:4" hidden="1" x14ac:dyDescent="0.2">
      <c r="A129">
        <v>2007</v>
      </c>
      <c r="B129" t="s">
        <v>382</v>
      </c>
      <c r="D129">
        <v>155</v>
      </c>
    </row>
    <row r="130" spans="1:4" hidden="1" x14ac:dyDescent="0.2">
      <c r="A130">
        <v>2007</v>
      </c>
      <c r="B130" t="s">
        <v>383</v>
      </c>
      <c r="D130">
        <v>18321</v>
      </c>
    </row>
    <row r="131" spans="1:4" hidden="1" x14ac:dyDescent="0.2">
      <c r="A131">
        <v>2007</v>
      </c>
      <c r="B131" t="s">
        <v>384</v>
      </c>
      <c r="D131">
        <v>138</v>
      </c>
    </row>
    <row r="132" spans="1:4" hidden="1" x14ac:dyDescent="0.2">
      <c r="A132">
        <v>2007</v>
      </c>
      <c r="B132" t="s">
        <v>385</v>
      </c>
      <c r="D132">
        <v>5</v>
      </c>
    </row>
    <row r="133" spans="1:4" hidden="1" x14ac:dyDescent="0.2">
      <c r="A133">
        <v>2007</v>
      </c>
      <c r="B133" t="s">
        <v>439</v>
      </c>
      <c r="D133">
        <v>906</v>
      </c>
    </row>
    <row r="134" spans="1:4" hidden="1" x14ac:dyDescent="0.2">
      <c r="A134">
        <v>2007</v>
      </c>
      <c r="B134" t="s">
        <v>386</v>
      </c>
      <c r="D134">
        <v>8161</v>
      </c>
    </row>
    <row r="135" spans="1:4" hidden="1" x14ac:dyDescent="0.2">
      <c r="A135">
        <v>2007</v>
      </c>
      <c r="B135" t="s">
        <v>387</v>
      </c>
      <c r="D135">
        <v>670</v>
      </c>
    </row>
    <row r="136" spans="1:4" hidden="1" x14ac:dyDescent="0.2">
      <c r="A136">
        <v>2007</v>
      </c>
      <c r="B136" t="s">
        <v>388</v>
      </c>
      <c r="D136">
        <v>615</v>
      </c>
    </row>
    <row r="137" spans="1:4" hidden="1" x14ac:dyDescent="0.2">
      <c r="A137">
        <v>2007</v>
      </c>
      <c r="B137" t="s">
        <v>389</v>
      </c>
      <c r="D137">
        <v>286</v>
      </c>
    </row>
    <row r="138" spans="1:4" hidden="1" x14ac:dyDescent="0.2">
      <c r="A138">
        <v>2007</v>
      </c>
      <c r="B138" t="s">
        <v>390</v>
      </c>
      <c r="D138">
        <v>2044</v>
      </c>
    </row>
    <row r="139" spans="1:4" hidden="1" x14ac:dyDescent="0.2">
      <c r="A139">
        <v>2007</v>
      </c>
      <c r="B139" t="s">
        <v>391</v>
      </c>
      <c r="D139">
        <v>22</v>
      </c>
    </row>
    <row r="140" spans="1:4" hidden="1" x14ac:dyDescent="0.2">
      <c r="A140">
        <v>2007</v>
      </c>
      <c r="B140" t="s">
        <v>392</v>
      </c>
      <c r="D140">
        <v>17</v>
      </c>
    </row>
    <row r="141" spans="1:4" hidden="1" x14ac:dyDescent="0.2">
      <c r="A141">
        <v>2007</v>
      </c>
      <c r="B141" t="s">
        <v>440</v>
      </c>
      <c r="D141">
        <v>39</v>
      </c>
    </row>
    <row r="142" spans="1:4" hidden="1" x14ac:dyDescent="0.2">
      <c r="A142">
        <v>2007</v>
      </c>
      <c r="B142" t="s">
        <v>443</v>
      </c>
      <c r="D142">
        <v>33</v>
      </c>
    </row>
    <row r="143" spans="1:4" hidden="1" x14ac:dyDescent="0.2">
      <c r="A143">
        <v>2007</v>
      </c>
      <c r="B143" t="s">
        <v>393</v>
      </c>
      <c r="D143">
        <v>221</v>
      </c>
    </row>
    <row r="144" spans="1:4" hidden="1" x14ac:dyDescent="0.2">
      <c r="A144">
        <v>2007</v>
      </c>
      <c r="B144" t="s">
        <v>394</v>
      </c>
      <c r="D144">
        <v>1404</v>
      </c>
    </row>
    <row r="145" spans="1:4" hidden="1" x14ac:dyDescent="0.2">
      <c r="A145">
        <v>2007</v>
      </c>
      <c r="B145" t="s">
        <v>395</v>
      </c>
      <c r="D145">
        <v>4878</v>
      </c>
    </row>
    <row r="146" spans="1:4" hidden="1" x14ac:dyDescent="0.2">
      <c r="A146">
        <v>2007</v>
      </c>
      <c r="B146" t="s">
        <v>441</v>
      </c>
      <c r="D146">
        <v>523</v>
      </c>
    </row>
    <row r="147" spans="1:4" hidden="1" x14ac:dyDescent="0.2">
      <c r="A147">
        <v>2007</v>
      </c>
      <c r="B147" t="s">
        <v>444</v>
      </c>
      <c r="D147">
        <v>168</v>
      </c>
    </row>
    <row r="148" spans="1:4" hidden="1" x14ac:dyDescent="0.2">
      <c r="A148">
        <v>2007</v>
      </c>
      <c r="B148" t="s">
        <v>396</v>
      </c>
      <c r="D148">
        <v>7</v>
      </c>
    </row>
    <row r="149" spans="1:4" hidden="1" x14ac:dyDescent="0.2">
      <c r="A149">
        <v>2007</v>
      </c>
      <c r="B149" t="s">
        <v>397</v>
      </c>
      <c r="D149">
        <v>67830</v>
      </c>
    </row>
    <row r="150" spans="1:4" hidden="1" x14ac:dyDescent="0.2">
      <c r="A150">
        <v>2007</v>
      </c>
      <c r="B150" t="s">
        <v>398</v>
      </c>
      <c r="D150">
        <v>44798</v>
      </c>
    </row>
    <row r="151" spans="1:4" hidden="1" x14ac:dyDescent="0.2">
      <c r="A151">
        <v>2007</v>
      </c>
      <c r="B151" t="s">
        <v>399</v>
      </c>
      <c r="D151">
        <v>18</v>
      </c>
    </row>
    <row r="152" spans="1:4" hidden="1" x14ac:dyDescent="0.2">
      <c r="A152">
        <v>2007</v>
      </c>
      <c r="B152" t="s">
        <v>400</v>
      </c>
      <c r="D152">
        <v>1826</v>
      </c>
    </row>
    <row r="153" spans="1:4" hidden="1" x14ac:dyDescent="0.2">
      <c r="A153">
        <v>2007</v>
      </c>
      <c r="B153" t="s">
        <v>401</v>
      </c>
      <c r="D153">
        <v>86</v>
      </c>
    </row>
    <row r="154" spans="1:4" hidden="1" x14ac:dyDescent="0.2">
      <c r="A154">
        <v>2007</v>
      </c>
      <c r="B154" t="s">
        <v>402</v>
      </c>
      <c r="D154">
        <v>16591</v>
      </c>
    </row>
    <row r="155" spans="1:4" hidden="1" x14ac:dyDescent="0.2">
      <c r="A155">
        <v>2007</v>
      </c>
      <c r="B155" t="s">
        <v>403</v>
      </c>
      <c r="D155">
        <v>110</v>
      </c>
    </row>
    <row r="156" spans="1:4" hidden="1" x14ac:dyDescent="0.2">
      <c r="A156">
        <v>2007</v>
      </c>
      <c r="B156" t="s">
        <v>404</v>
      </c>
      <c r="D156">
        <v>6</v>
      </c>
    </row>
    <row r="157" spans="1:4" hidden="1" x14ac:dyDescent="0.2">
      <c r="A157">
        <v>2007</v>
      </c>
      <c r="B157" t="s">
        <v>405</v>
      </c>
      <c r="D157">
        <v>249</v>
      </c>
    </row>
    <row r="158" spans="1:4" hidden="1" x14ac:dyDescent="0.2">
      <c r="A158">
        <v>2007</v>
      </c>
      <c r="B158" t="s">
        <v>406</v>
      </c>
      <c r="D158">
        <v>75</v>
      </c>
    </row>
    <row r="159" spans="1:4" hidden="1" x14ac:dyDescent="0.2">
      <c r="A159">
        <v>2007</v>
      </c>
      <c r="B159" t="s">
        <v>407</v>
      </c>
      <c r="D159">
        <v>127</v>
      </c>
    </row>
    <row r="160" spans="1:4" hidden="1" x14ac:dyDescent="0.2">
      <c r="A160">
        <v>2007</v>
      </c>
      <c r="B160" t="s">
        <v>408</v>
      </c>
      <c r="D160">
        <v>143</v>
      </c>
    </row>
    <row r="161" spans="1:4" hidden="1" x14ac:dyDescent="0.2">
      <c r="A161">
        <v>2007</v>
      </c>
      <c r="B161" t="s">
        <v>409</v>
      </c>
      <c r="D161">
        <v>22495</v>
      </c>
    </row>
    <row r="162" spans="1:4" hidden="1" x14ac:dyDescent="0.2">
      <c r="A162">
        <v>2007</v>
      </c>
      <c r="B162" t="s">
        <v>410</v>
      </c>
      <c r="D162">
        <v>24999</v>
      </c>
    </row>
    <row r="163" spans="1:4" hidden="1" x14ac:dyDescent="0.2">
      <c r="A163">
        <v>2007</v>
      </c>
      <c r="B163" t="s">
        <v>411</v>
      </c>
      <c r="D163">
        <v>9</v>
      </c>
    </row>
    <row r="164" spans="1:4" hidden="1" x14ac:dyDescent="0.2">
      <c r="A164">
        <v>2007</v>
      </c>
      <c r="B164" t="s">
        <v>412</v>
      </c>
      <c r="D164">
        <v>984</v>
      </c>
    </row>
    <row r="165" spans="1:4" hidden="1" x14ac:dyDescent="0.2">
      <c r="A165">
        <v>2007</v>
      </c>
      <c r="B165" t="s">
        <v>413</v>
      </c>
      <c r="D165">
        <v>5</v>
      </c>
    </row>
    <row r="166" spans="1:4" hidden="1" x14ac:dyDescent="0.2">
      <c r="A166">
        <v>2007</v>
      </c>
      <c r="B166" t="s">
        <v>414</v>
      </c>
      <c r="D166">
        <v>34542</v>
      </c>
    </row>
    <row r="167" spans="1:4" hidden="1" x14ac:dyDescent="0.2">
      <c r="A167">
        <v>2007</v>
      </c>
      <c r="B167" t="s">
        <v>445</v>
      </c>
      <c r="D167">
        <v>26</v>
      </c>
    </row>
    <row r="168" spans="1:4" hidden="1" x14ac:dyDescent="0.2">
      <c r="A168">
        <v>2007</v>
      </c>
      <c r="B168" t="s">
        <v>415</v>
      </c>
      <c r="D168">
        <v>6</v>
      </c>
    </row>
    <row r="169" spans="1:4" hidden="1" x14ac:dyDescent="0.2">
      <c r="A169">
        <v>2007</v>
      </c>
      <c r="B169" t="s">
        <v>416</v>
      </c>
      <c r="D169">
        <v>99</v>
      </c>
    </row>
    <row r="170" spans="1:4" hidden="1" x14ac:dyDescent="0.2">
      <c r="A170">
        <v>2007</v>
      </c>
      <c r="B170" t="s">
        <v>417</v>
      </c>
      <c r="D170">
        <v>64507</v>
      </c>
    </row>
    <row r="171" spans="1:4" hidden="1" x14ac:dyDescent="0.2">
      <c r="A171">
        <v>2007</v>
      </c>
      <c r="B171" t="s">
        <v>418</v>
      </c>
      <c r="D171">
        <v>2082</v>
      </c>
    </row>
    <row r="172" spans="1:4" hidden="1" x14ac:dyDescent="0.2">
      <c r="A172">
        <v>2007</v>
      </c>
      <c r="B172" t="s">
        <v>419</v>
      </c>
      <c r="D172">
        <v>62</v>
      </c>
    </row>
    <row r="173" spans="1:4" hidden="1" x14ac:dyDescent="0.2">
      <c r="A173">
        <v>2007</v>
      </c>
      <c r="B173" t="s">
        <v>420</v>
      </c>
      <c r="D173">
        <v>7</v>
      </c>
    </row>
    <row r="174" spans="1:4" hidden="1" x14ac:dyDescent="0.2">
      <c r="A174">
        <v>2007</v>
      </c>
      <c r="B174" t="s">
        <v>421</v>
      </c>
      <c r="D174">
        <v>1905</v>
      </c>
    </row>
    <row r="175" spans="1:4" hidden="1" x14ac:dyDescent="0.2">
      <c r="A175">
        <v>2007</v>
      </c>
      <c r="B175" t="s">
        <v>422</v>
      </c>
      <c r="D175">
        <v>2387</v>
      </c>
    </row>
    <row r="176" spans="1:4" hidden="1" x14ac:dyDescent="0.2">
      <c r="A176">
        <v>2007</v>
      </c>
      <c r="B176" t="s">
        <v>423</v>
      </c>
      <c r="D176">
        <v>1242</v>
      </c>
    </row>
    <row r="177" spans="1:4" hidden="1" x14ac:dyDescent="0.2">
      <c r="A177">
        <v>2007</v>
      </c>
      <c r="B177" t="s">
        <v>424</v>
      </c>
      <c r="D177">
        <v>4642</v>
      </c>
    </row>
    <row r="178" spans="1:4" hidden="1" x14ac:dyDescent="0.2">
      <c r="A178">
        <v>2007</v>
      </c>
      <c r="B178" t="s">
        <v>425</v>
      </c>
      <c r="D178">
        <v>3019</v>
      </c>
    </row>
    <row r="179" spans="1:4" hidden="1" x14ac:dyDescent="0.2">
      <c r="A179">
        <v>2007</v>
      </c>
      <c r="B179" t="s">
        <v>426</v>
      </c>
      <c r="D179">
        <v>116</v>
      </c>
    </row>
    <row r="180" spans="1:4" hidden="1" x14ac:dyDescent="0.2">
      <c r="A180">
        <v>2007</v>
      </c>
      <c r="B180" t="s">
        <v>427</v>
      </c>
      <c r="D180">
        <v>122</v>
      </c>
    </row>
    <row r="181" spans="1:4" hidden="1" x14ac:dyDescent="0.2">
      <c r="A181">
        <v>2007</v>
      </c>
      <c r="B181" t="s">
        <v>428</v>
      </c>
      <c r="D181">
        <v>1574</v>
      </c>
    </row>
    <row r="182" spans="1:4" hidden="1" x14ac:dyDescent="0.2">
      <c r="A182">
        <v>2007</v>
      </c>
      <c r="B182" t="s">
        <v>429</v>
      </c>
      <c r="D182">
        <v>62</v>
      </c>
    </row>
    <row r="183" spans="1:4" hidden="1" x14ac:dyDescent="0.2">
      <c r="A183">
        <v>2007</v>
      </c>
      <c r="B183" t="s">
        <v>430</v>
      </c>
      <c r="D183">
        <v>323</v>
      </c>
    </row>
    <row r="184" spans="1:4" hidden="1" x14ac:dyDescent="0.2">
      <c r="A184">
        <v>2007</v>
      </c>
      <c r="B184" t="s">
        <v>431</v>
      </c>
      <c r="D184">
        <v>196</v>
      </c>
    </row>
    <row r="185" spans="1:4" hidden="1" x14ac:dyDescent="0.2">
      <c r="A185">
        <v>2007</v>
      </c>
      <c r="B185" t="s">
        <v>432</v>
      </c>
      <c r="D185">
        <v>9949</v>
      </c>
    </row>
    <row r="186" spans="1:4" hidden="1" x14ac:dyDescent="0.2">
      <c r="A186">
        <v>2007</v>
      </c>
      <c r="B186" t="s">
        <v>433</v>
      </c>
      <c r="D186">
        <v>8</v>
      </c>
    </row>
    <row r="187" spans="1:4" hidden="1" x14ac:dyDescent="0.2">
      <c r="A187">
        <v>2007</v>
      </c>
      <c r="B187" t="s">
        <v>434</v>
      </c>
      <c r="D187">
        <v>11263</v>
      </c>
    </row>
    <row r="188" spans="1:4" hidden="1" x14ac:dyDescent="0.2">
      <c r="A188">
        <v>2007</v>
      </c>
      <c r="B188" t="s">
        <v>442</v>
      </c>
      <c r="D188">
        <v>5</v>
      </c>
    </row>
    <row r="189" spans="1:4" hidden="1" x14ac:dyDescent="0.2">
      <c r="A189">
        <v>2007</v>
      </c>
      <c r="B189" t="s">
        <v>435</v>
      </c>
      <c r="D189">
        <v>146597</v>
      </c>
    </row>
    <row r="190" spans="1:4" hidden="1" x14ac:dyDescent="0.2">
      <c r="A190">
        <v>2007</v>
      </c>
      <c r="B190" t="s">
        <v>436</v>
      </c>
      <c r="D190">
        <v>33</v>
      </c>
    </row>
    <row r="191" spans="1:4" hidden="1" x14ac:dyDescent="0.2">
      <c r="A191">
        <v>2007</v>
      </c>
      <c r="B191" t="s">
        <v>437</v>
      </c>
      <c r="D191">
        <v>3475</v>
      </c>
    </row>
    <row r="192" spans="1:4" hidden="1" x14ac:dyDescent="0.2">
      <c r="A192">
        <v>2007</v>
      </c>
      <c r="B192" t="s">
        <v>438</v>
      </c>
      <c r="D192">
        <v>5759</v>
      </c>
    </row>
    <row r="193" spans="1:4" hidden="1" x14ac:dyDescent="0.2">
      <c r="A193">
        <v>2008</v>
      </c>
      <c r="B193" t="s">
        <v>379</v>
      </c>
      <c r="D193">
        <v>858</v>
      </c>
    </row>
    <row r="194" spans="1:4" hidden="1" x14ac:dyDescent="0.2">
      <c r="A194">
        <v>2008</v>
      </c>
      <c r="B194" t="s">
        <v>380</v>
      </c>
      <c r="D194">
        <v>77</v>
      </c>
    </row>
    <row r="195" spans="1:4" hidden="1" x14ac:dyDescent="0.2">
      <c r="A195">
        <v>2008</v>
      </c>
      <c r="B195" t="s">
        <v>381</v>
      </c>
      <c r="D195">
        <v>4223</v>
      </c>
    </row>
    <row r="196" spans="1:4" hidden="1" x14ac:dyDescent="0.2">
      <c r="A196">
        <v>2008</v>
      </c>
      <c r="B196" t="s">
        <v>382</v>
      </c>
      <c r="D196">
        <v>154</v>
      </c>
    </row>
    <row r="197" spans="1:4" hidden="1" x14ac:dyDescent="0.2">
      <c r="A197">
        <v>2008</v>
      </c>
      <c r="B197" t="s">
        <v>383</v>
      </c>
      <c r="D197">
        <v>20434</v>
      </c>
    </row>
    <row r="198" spans="1:4" hidden="1" x14ac:dyDescent="0.2">
      <c r="A198">
        <v>2008</v>
      </c>
      <c r="B198" t="s">
        <v>384</v>
      </c>
      <c r="D198">
        <v>179</v>
      </c>
    </row>
    <row r="199" spans="1:4" hidden="1" x14ac:dyDescent="0.2">
      <c r="A199">
        <v>2008</v>
      </c>
      <c r="B199" t="s">
        <v>446</v>
      </c>
      <c r="D199">
        <v>39</v>
      </c>
    </row>
    <row r="200" spans="1:4" hidden="1" x14ac:dyDescent="0.2">
      <c r="A200">
        <v>2008</v>
      </c>
      <c r="B200" t="s">
        <v>439</v>
      </c>
      <c r="D200">
        <v>1466</v>
      </c>
    </row>
    <row r="201" spans="1:4" hidden="1" x14ac:dyDescent="0.2">
      <c r="A201">
        <v>2008</v>
      </c>
      <c r="B201" t="s">
        <v>386</v>
      </c>
      <c r="D201">
        <v>8951</v>
      </c>
    </row>
    <row r="202" spans="1:4" hidden="1" x14ac:dyDescent="0.2">
      <c r="A202">
        <v>2008</v>
      </c>
      <c r="B202" t="s">
        <v>387</v>
      </c>
      <c r="D202">
        <v>698</v>
      </c>
    </row>
    <row r="203" spans="1:4" hidden="1" x14ac:dyDescent="0.2">
      <c r="A203">
        <v>2008</v>
      </c>
      <c r="B203" t="s">
        <v>388</v>
      </c>
      <c r="D203">
        <v>730</v>
      </c>
    </row>
    <row r="204" spans="1:4" hidden="1" x14ac:dyDescent="0.2">
      <c r="A204">
        <v>2008</v>
      </c>
      <c r="B204" t="s">
        <v>389</v>
      </c>
      <c r="D204">
        <v>175</v>
      </c>
    </row>
    <row r="205" spans="1:4" hidden="1" x14ac:dyDescent="0.2">
      <c r="A205">
        <v>2008</v>
      </c>
      <c r="B205" t="s">
        <v>390</v>
      </c>
      <c r="D205">
        <v>2538</v>
      </c>
    </row>
    <row r="206" spans="1:4" hidden="1" x14ac:dyDescent="0.2">
      <c r="A206">
        <v>2008</v>
      </c>
      <c r="B206" t="s">
        <v>391</v>
      </c>
      <c r="D206">
        <v>22</v>
      </c>
    </row>
    <row r="207" spans="1:4" hidden="1" x14ac:dyDescent="0.2">
      <c r="A207">
        <v>2008</v>
      </c>
      <c r="B207" t="s">
        <v>392</v>
      </c>
      <c r="D207">
        <v>16</v>
      </c>
    </row>
    <row r="208" spans="1:4" hidden="1" x14ac:dyDescent="0.2">
      <c r="A208">
        <v>2008</v>
      </c>
      <c r="B208" t="s">
        <v>440</v>
      </c>
      <c r="D208">
        <v>46</v>
      </c>
    </row>
    <row r="209" spans="1:4" hidden="1" x14ac:dyDescent="0.2">
      <c r="A209">
        <v>2008</v>
      </c>
      <c r="B209" t="s">
        <v>443</v>
      </c>
      <c r="D209">
        <v>64</v>
      </c>
    </row>
    <row r="210" spans="1:4" hidden="1" x14ac:dyDescent="0.2">
      <c r="A210">
        <v>2008</v>
      </c>
      <c r="B210" t="s">
        <v>393</v>
      </c>
      <c r="D210">
        <v>264</v>
      </c>
    </row>
    <row r="211" spans="1:4" hidden="1" x14ac:dyDescent="0.2">
      <c r="A211">
        <v>2008</v>
      </c>
      <c r="B211" t="s">
        <v>394</v>
      </c>
      <c r="D211">
        <v>1775</v>
      </c>
    </row>
    <row r="212" spans="1:4" hidden="1" x14ac:dyDescent="0.2">
      <c r="A212">
        <v>2008</v>
      </c>
      <c r="B212" t="s">
        <v>395</v>
      </c>
      <c r="D212">
        <v>4045</v>
      </c>
    </row>
    <row r="213" spans="1:4" hidden="1" x14ac:dyDescent="0.2">
      <c r="A213">
        <v>2008</v>
      </c>
      <c r="B213" t="s">
        <v>441</v>
      </c>
      <c r="D213">
        <v>697</v>
      </c>
    </row>
    <row r="214" spans="1:4" hidden="1" x14ac:dyDescent="0.2">
      <c r="A214">
        <v>2008</v>
      </c>
      <c r="B214" t="s">
        <v>447</v>
      </c>
      <c r="D214">
        <v>5</v>
      </c>
    </row>
    <row r="215" spans="1:4" hidden="1" x14ac:dyDescent="0.2">
      <c r="A215">
        <v>2008</v>
      </c>
      <c r="B215" t="s">
        <v>444</v>
      </c>
      <c r="D215">
        <v>297</v>
      </c>
    </row>
    <row r="216" spans="1:4" hidden="1" x14ac:dyDescent="0.2">
      <c r="A216">
        <v>2008</v>
      </c>
      <c r="B216" t="s">
        <v>396</v>
      </c>
      <c r="D216">
        <v>7</v>
      </c>
    </row>
    <row r="217" spans="1:4" hidden="1" x14ac:dyDescent="0.2">
      <c r="A217">
        <v>2008</v>
      </c>
      <c r="B217" t="s">
        <v>397</v>
      </c>
      <c r="D217">
        <v>85768</v>
      </c>
    </row>
    <row r="218" spans="1:4" hidden="1" x14ac:dyDescent="0.2">
      <c r="A218">
        <v>2008</v>
      </c>
      <c r="B218" t="s">
        <v>398</v>
      </c>
      <c r="D218">
        <v>41708</v>
      </c>
    </row>
    <row r="219" spans="1:4" hidden="1" x14ac:dyDescent="0.2">
      <c r="A219">
        <v>2008</v>
      </c>
      <c r="B219" t="s">
        <v>399</v>
      </c>
      <c r="D219">
        <v>17</v>
      </c>
    </row>
    <row r="220" spans="1:4" hidden="1" x14ac:dyDescent="0.2">
      <c r="A220">
        <v>2008</v>
      </c>
      <c r="B220" t="s">
        <v>400</v>
      </c>
      <c r="D220">
        <v>1851</v>
      </c>
    </row>
    <row r="221" spans="1:4" hidden="1" x14ac:dyDescent="0.2">
      <c r="A221">
        <v>2008</v>
      </c>
      <c r="B221" t="s">
        <v>401</v>
      </c>
      <c r="D221">
        <v>108</v>
      </c>
    </row>
    <row r="222" spans="1:4" hidden="1" x14ac:dyDescent="0.2">
      <c r="A222">
        <v>2008</v>
      </c>
      <c r="B222" t="s">
        <v>402</v>
      </c>
      <c r="D222">
        <v>16927</v>
      </c>
    </row>
    <row r="223" spans="1:4" hidden="1" x14ac:dyDescent="0.2">
      <c r="A223">
        <v>2008</v>
      </c>
      <c r="B223" t="s">
        <v>403</v>
      </c>
      <c r="D223">
        <v>156</v>
      </c>
    </row>
    <row r="224" spans="1:4" hidden="1" x14ac:dyDescent="0.2">
      <c r="A224">
        <v>2008</v>
      </c>
      <c r="B224" t="s">
        <v>405</v>
      </c>
      <c r="D224">
        <v>259</v>
      </c>
    </row>
    <row r="225" spans="1:4" hidden="1" x14ac:dyDescent="0.2">
      <c r="A225">
        <v>2008</v>
      </c>
      <c r="B225" t="s">
        <v>406</v>
      </c>
      <c r="D225">
        <v>94</v>
      </c>
    </row>
    <row r="226" spans="1:4" hidden="1" x14ac:dyDescent="0.2">
      <c r="A226">
        <v>2008</v>
      </c>
      <c r="B226" t="s">
        <v>407</v>
      </c>
      <c r="D226">
        <v>125</v>
      </c>
    </row>
    <row r="227" spans="1:4" hidden="1" x14ac:dyDescent="0.2">
      <c r="A227">
        <v>2008</v>
      </c>
      <c r="B227" t="s">
        <v>408</v>
      </c>
      <c r="D227">
        <v>227</v>
      </c>
    </row>
    <row r="228" spans="1:4" hidden="1" x14ac:dyDescent="0.2">
      <c r="A228">
        <v>2008</v>
      </c>
      <c r="B228" t="s">
        <v>409</v>
      </c>
      <c r="D228">
        <v>22647</v>
      </c>
    </row>
    <row r="229" spans="1:4" hidden="1" x14ac:dyDescent="0.2">
      <c r="A229">
        <v>2008</v>
      </c>
      <c r="B229" t="s">
        <v>410</v>
      </c>
      <c r="D229">
        <v>25896</v>
      </c>
    </row>
    <row r="230" spans="1:4" hidden="1" x14ac:dyDescent="0.2">
      <c r="A230">
        <v>2008</v>
      </c>
      <c r="B230" t="s">
        <v>411</v>
      </c>
      <c r="D230">
        <v>9</v>
      </c>
    </row>
    <row r="231" spans="1:4" hidden="1" x14ac:dyDescent="0.2">
      <c r="A231">
        <v>2008</v>
      </c>
      <c r="B231" t="s">
        <v>412</v>
      </c>
      <c r="D231">
        <v>1227</v>
      </c>
    </row>
    <row r="232" spans="1:4" hidden="1" x14ac:dyDescent="0.2">
      <c r="A232">
        <v>2008</v>
      </c>
      <c r="B232" t="s">
        <v>413</v>
      </c>
      <c r="D232">
        <v>5</v>
      </c>
    </row>
    <row r="233" spans="1:4" hidden="1" x14ac:dyDescent="0.2">
      <c r="A233">
        <v>2008</v>
      </c>
      <c r="B233" t="s">
        <v>414</v>
      </c>
      <c r="D233">
        <v>36805</v>
      </c>
    </row>
    <row r="234" spans="1:4" hidden="1" x14ac:dyDescent="0.2">
      <c r="A234">
        <v>2008</v>
      </c>
      <c r="B234" t="s">
        <v>445</v>
      </c>
      <c r="D234">
        <v>31</v>
      </c>
    </row>
    <row r="235" spans="1:4" hidden="1" x14ac:dyDescent="0.2">
      <c r="A235">
        <v>2008</v>
      </c>
      <c r="B235" t="s">
        <v>415</v>
      </c>
      <c r="D235">
        <v>7</v>
      </c>
    </row>
    <row r="236" spans="1:4" hidden="1" x14ac:dyDescent="0.2">
      <c r="A236">
        <v>2008</v>
      </c>
      <c r="B236" t="s">
        <v>416</v>
      </c>
      <c r="D236">
        <v>100</v>
      </c>
    </row>
    <row r="237" spans="1:4" hidden="1" x14ac:dyDescent="0.2">
      <c r="A237">
        <v>2008</v>
      </c>
      <c r="B237" t="s">
        <v>448</v>
      </c>
      <c r="D237">
        <v>27</v>
      </c>
    </row>
    <row r="238" spans="1:4" hidden="1" x14ac:dyDescent="0.2">
      <c r="A238">
        <v>2008</v>
      </c>
      <c r="B238" t="s">
        <v>417</v>
      </c>
      <c r="D238">
        <v>61701</v>
      </c>
    </row>
    <row r="239" spans="1:4" hidden="1" x14ac:dyDescent="0.2">
      <c r="A239">
        <v>2008</v>
      </c>
      <c r="B239" t="s">
        <v>418</v>
      </c>
      <c r="D239">
        <v>1965</v>
      </c>
    </row>
    <row r="240" spans="1:4" hidden="1" x14ac:dyDescent="0.2">
      <c r="A240">
        <v>2008</v>
      </c>
      <c r="B240" t="s">
        <v>419</v>
      </c>
      <c r="D240">
        <v>73</v>
      </c>
    </row>
    <row r="241" spans="1:4" hidden="1" x14ac:dyDescent="0.2">
      <c r="A241">
        <v>2008</v>
      </c>
      <c r="B241" t="s">
        <v>420</v>
      </c>
      <c r="D241">
        <v>7</v>
      </c>
    </row>
    <row r="242" spans="1:4" hidden="1" x14ac:dyDescent="0.2">
      <c r="A242">
        <v>2008</v>
      </c>
      <c r="B242" t="s">
        <v>421</v>
      </c>
      <c r="D242">
        <v>2193</v>
      </c>
    </row>
    <row r="243" spans="1:4" hidden="1" x14ac:dyDescent="0.2">
      <c r="A243">
        <v>2008</v>
      </c>
      <c r="B243" t="s">
        <v>422</v>
      </c>
      <c r="D243">
        <v>2476</v>
      </c>
    </row>
    <row r="244" spans="1:4" hidden="1" x14ac:dyDescent="0.2">
      <c r="A244">
        <v>2008</v>
      </c>
      <c r="B244" t="s">
        <v>423</v>
      </c>
      <c r="D244">
        <v>1554</v>
      </c>
    </row>
    <row r="245" spans="1:4" hidden="1" x14ac:dyDescent="0.2">
      <c r="A245">
        <v>2008</v>
      </c>
      <c r="B245" t="s">
        <v>424</v>
      </c>
      <c r="D245">
        <v>4486</v>
      </c>
    </row>
    <row r="246" spans="1:4" hidden="1" x14ac:dyDescent="0.2">
      <c r="A246">
        <v>2008</v>
      </c>
      <c r="B246" t="s">
        <v>425</v>
      </c>
      <c r="D246">
        <v>2798</v>
      </c>
    </row>
    <row r="247" spans="1:4" hidden="1" x14ac:dyDescent="0.2">
      <c r="A247">
        <v>2008</v>
      </c>
      <c r="B247" t="s">
        <v>426</v>
      </c>
      <c r="D247">
        <v>127</v>
      </c>
    </row>
    <row r="248" spans="1:4" hidden="1" x14ac:dyDescent="0.2">
      <c r="A248">
        <v>2008</v>
      </c>
      <c r="B248" t="s">
        <v>427</v>
      </c>
      <c r="D248">
        <v>75</v>
      </c>
    </row>
    <row r="249" spans="1:4" hidden="1" x14ac:dyDescent="0.2">
      <c r="A249">
        <v>2008</v>
      </c>
      <c r="B249" t="s">
        <v>428</v>
      </c>
      <c r="D249">
        <v>1499</v>
      </c>
    </row>
    <row r="250" spans="1:4" hidden="1" x14ac:dyDescent="0.2">
      <c r="A250">
        <v>2008</v>
      </c>
      <c r="B250" t="s">
        <v>429</v>
      </c>
      <c r="D250">
        <v>44</v>
      </c>
    </row>
    <row r="251" spans="1:4" hidden="1" x14ac:dyDescent="0.2">
      <c r="A251">
        <v>2008</v>
      </c>
      <c r="B251" t="s">
        <v>430</v>
      </c>
      <c r="D251">
        <v>273</v>
      </c>
    </row>
    <row r="252" spans="1:4" hidden="1" x14ac:dyDescent="0.2">
      <c r="A252">
        <v>2008</v>
      </c>
      <c r="B252" t="s">
        <v>431</v>
      </c>
      <c r="D252">
        <v>308</v>
      </c>
    </row>
    <row r="253" spans="1:4" hidden="1" x14ac:dyDescent="0.2">
      <c r="A253">
        <v>2008</v>
      </c>
      <c r="B253" t="s">
        <v>432</v>
      </c>
      <c r="D253">
        <v>12446</v>
      </c>
    </row>
    <row r="254" spans="1:4" hidden="1" x14ac:dyDescent="0.2">
      <c r="A254">
        <v>2008</v>
      </c>
      <c r="B254" t="s">
        <v>433</v>
      </c>
      <c r="D254">
        <v>8</v>
      </c>
    </row>
    <row r="255" spans="1:4" hidden="1" x14ac:dyDescent="0.2">
      <c r="A255">
        <v>2008</v>
      </c>
      <c r="B255" t="s">
        <v>434</v>
      </c>
      <c r="D255">
        <v>13641</v>
      </c>
    </row>
    <row r="256" spans="1:4" hidden="1" x14ac:dyDescent="0.2">
      <c r="A256">
        <v>2008</v>
      </c>
      <c r="B256" t="s">
        <v>442</v>
      </c>
      <c r="D256">
        <v>5</v>
      </c>
    </row>
    <row r="257" spans="1:4" hidden="1" x14ac:dyDescent="0.2">
      <c r="A257">
        <v>2008</v>
      </c>
      <c r="B257" t="s">
        <v>435</v>
      </c>
      <c r="D257">
        <v>154948</v>
      </c>
    </row>
    <row r="258" spans="1:4" hidden="1" x14ac:dyDescent="0.2">
      <c r="A258">
        <v>2008</v>
      </c>
      <c r="B258" t="s">
        <v>436</v>
      </c>
      <c r="D258">
        <v>33</v>
      </c>
    </row>
    <row r="259" spans="1:4" hidden="1" x14ac:dyDescent="0.2">
      <c r="A259">
        <v>2008</v>
      </c>
      <c r="B259" t="s">
        <v>437</v>
      </c>
      <c r="D259">
        <v>4474</v>
      </c>
    </row>
    <row r="260" spans="1:4" hidden="1" x14ac:dyDescent="0.2">
      <c r="A260">
        <v>2008</v>
      </c>
      <c r="B260" t="s">
        <v>438</v>
      </c>
      <c r="D260">
        <v>5899</v>
      </c>
    </row>
    <row r="261" spans="1:4" hidden="1" x14ac:dyDescent="0.2">
      <c r="A261">
        <v>2008</v>
      </c>
      <c r="B261" t="s">
        <v>449</v>
      </c>
      <c r="D261">
        <v>53</v>
      </c>
    </row>
    <row r="262" spans="1:4" hidden="1" x14ac:dyDescent="0.2">
      <c r="A262">
        <v>2008</v>
      </c>
      <c r="B262" t="s">
        <v>450</v>
      </c>
      <c r="D262">
        <v>6</v>
      </c>
    </row>
    <row r="263" spans="1:4" hidden="1" x14ac:dyDescent="0.2">
      <c r="A263">
        <v>2009</v>
      </c>
      <c r="B263" t="s">
        <v>379</v>
      </c>
      <c r="D263">
        <v>886</v>
      </c>
    </row>
    <row r="264" spans="1:4" hidden="1" x14ac:dyDescent="0.2">
      <c r="A264">
        <v>2009</v>
      </c>
      <c r="B264" t="s">
        <v>380</v>
      </c>
      <c r="D264">
        <v>100</v>
      </c>
    </row>
    <row r="265" spans="1:4" hidden="1" x14ac:dyDescent="0.2">
      <c r="A265">
        <v>2009</v>
      </c>
      <c r="B265" t="s">
        <v>381</v>
      </c>
      <c r="D265">
        <v>5590</v>
      </c>
    </row>
    <row r="266" spans="1:4" hidden="1" x14ac:dyDescent="0.2">
      <c r="A266">
        <v>2009</v>
      </c>
      <c r="B266" t="s">
        <v>382</v>
      </c>
      <c r="D266">
        <v>154</v>
      </c>
    </row>
    <row r="267" spans="1:4" hidden="1" x14ac:dyDescent="0.2">
      <c r="A267">
        <v>2009</v>
      </c>
      <c r="B267" t="s">
        <v>383</v>
      </c>
      <c r="D267">
        <v>22871</v>
      </c>
    </row>
    <row r="268" spans="1:4" hidden="1" x14ac:dyDescent="0.2">
      <c r="A268">
        <v>2009</v>
      </c>
      <c r="B268" t="s">
        <v>384</v>
      </c>
      <c r="D268">
        <v>219</v>
      </c>
    </row>
    <row r="269" spans="1:4" hidden="1" x14ac:dyDescent="0.2">
      <c r="A269">
        <v>2009</v>
      </c>
      <c r="B269" t="s">
        <v>446</v>
      </c>
      <c r="D269">
        <v>66</v>
      </c>
    </row>
    <row r="270" spans="1:4" hidden="1" x14ac:dyDescent="0.2">
      <c r="A270">
        <v>2009</v>
      </c>
      <c r="B270" t="s">
        <v>439</v>
      </c>
      <c r="D270">
        <v>1687</v>
      </c>
    </row>
    <row r="271" spans="1:4" hidden="1" x14ac:dyDescent="0.2">
      <c r="A271">
        <v>2009</v>
      </c>
      <c r="B271" t="s">
        <v>386</v>
      </c>
      <c r="D271">
        <v>9973</v>
      </c>
    </row>
    <row r="272" spans="1:4" hidden="1" x14ac:dyDescent="0.2">
      <c r="A272">
        <v>2009</v>
      </c>
      <c r="B272" t="s">
        <v>387</v>
      </c>
      <c r="D272">
        <v>696</v>
      </c>
    </row>
    <row r="273" spans="1:4" hidden="1" x14ac:dyDescent="0.2">
      <c r="A273">
        <v>2009</v>
      </c>
      <c r="B273" t="s">
        <v>388</v>
      </c>
      <c r="D273">
        <v>948</v>
      </c>
    </row>
    <row r="274" spans="1:4" hidden="1" x14ac:dyDescent="0.2">
      <c r="A274">
        <v>2009</v>
      </c>
      <c r="B274" t="s">
        <v>389</v>
      </c>
      <c r="D274">
        <v>115</v>
      </c>
    </row>
    <row r="275" spans="1:4" hidden="1" x14ac:dyDescent="0.2">
      <c r="A275">
        <v>2009</v>
      </c>
      <c r="B275" t="s">
        <v>390</v>
      </c>
      <c r="D275">
        <v>2577</v>
      </c>
    </row>
    <row r="276" spans="1:4" hidden="1" x14ac:dyDescent="0.2">
      <c r="A276">
        <v>2009</v>
      </c>
      <c r="B276" t="s">
        <v>391</v>
      </c>
      <c r="D276">
        <v>21</v>
      </c>
    </row>
    <row r="277" spans="1:4" hidden="1" x14ac:dyDescent="0.2">
      <c r="A277">
        <v>2009</v>
      </c>
      <c r="B277" t="s">
        <v>392</v>
      </c>
      <c r="D277">
        <v>13</v>
      </c>
    </row>
    <row r="278" spans="1:4" hidden="1" x14ac:dyDescent="0.2">
      <c r="A278">
        <v>2009</v>
      </c>
      <c r="B278" t="s">
        <v>440</v>
      </c>
      <c r="D278">
        <v>45</v>
      </c>
    </row>
    <row r="279" spans="1:4" hidden="1" x14ac:dyDescent="0.2">
      <c r="A279">
        <v>2009</v>
      </c>
      <c r="B279" t="s">
        <v>443</v>
      </c>
      <c r="D279">
        <v>97</v>
      </c>
    </row>
    <row r="280" spans="1:4" hidden="1" x14ac:dyDescent="0.2">
      <c r="A280">
        <v>2009</v>
      </c>
      <c r="B280" t="s">
        <v>393</v>
      </c>
      <c r="D280">
        <v>294</v>
      </c>
    </row>
    <row r="281" spans="1:4" hidden="1" x14ac:dyDescent="0.2">
      <c r="A281">
        <v>2009</v>
      </c>
      <c r="B281" t="s">
        <v>394</v>
      </c>
      <c r="D281">
        <v>2032</v>
      </c>
    </row>
    <row r="282" spans="1:4" hidden="1" x14ac:dyDescent="0.2">
      <c r="A282">
        <v>2009</v>
      </c>
      <c r="B282" t="s">
        <v>395</v>
      </c>
      <c r="D282">
        <v>3788</v>
      </c>
    </row>
    <row r="283" spans="1:4" hidden="1" x14ac:dyDescent="0.2">
      <c r="A283">
        <v>2009</v>
      </c>
      <c r="B283" t="s">
        <v>441</v>
      </c>
      <c r="D283">
        <v>763</v>
      </c>
    </row>
    <row r="284" spans="1:4" hidden="1" x14ac:dyDescent="0.2">
      <c r="A284">
        <v>2009</v>
      </c>
      <c r="B284" t="s">
        <v>447</v>
      </c>
      <c r="D284">
        <v>6</v>
      </c>
    </row>
    <row r="285" spans="1:4" hidden="1" x14ac:dyDescent="0.2">
      <c r="A285">
        <v>2009</v>
      </c>
      <c r="B285" t="s">
        <v>444</v>
      </c>
      <c r="D285">
        <v>326</v>
      </c>
    </row>
    <row r="286" spans="1:4" hidden="1" x14ac:dyDescent="0.2">
      <c r="A286">
        <v>2009</v>
      </c>
      <c r="B286" t="s">
        <v>396</v>
      </c>
      <c r="D286">
        <v>7</v>
      </c>
    </row>
    <row r="287" spans="1:4" hidden="1" x14ac:dyDescent="0.2">
      <c r="A287">
        <v>2009</v>
      </c>
      <c r="B287" t="s">
        <v>397</v>
      </c>
      <c r="D287">
        <v>90861</v>
      </c>
    </row>
    <row r="288" spans="1:4" hidden="1" x14ac:dyDescent="0.2">
      <c r="A288">
        <v>2009</v>
      </c>
      <c r="B288" t="s">
        <v>451</v>
      </c>
      <c r="D288">
        <v>17</v>
      </c>
    </row>
    <row r="289" spans="1:4" hidden="1" x14ac:dyDescent="0.2">
      <c r="A289">
        <v>2009</v>
      </c>
      <c r="B289" t="s">
        <v>398</v>
      </c>
      <c r="D289">
        <v>43907</v>
      </c>
    </row>
    <row r="290" spans="1:4" hidden="1" x14ac:dyDescent="0.2">
      <c r="A290">
        <v>2009</v>
      </c>
      <c r="B290" t="s">
        <v>399</v>
      </c>
      <c r="D290">
        <v>14</v>
      </c>
    </row>
    <row r="291" spans="1:4" hidden="1" x14ac:dyDescent="0.2">
      <c r="A291">
        <v>2009</v>
      </c>
      <c r="B291" t="s">
        <v>400</v>
      </c>
      <c r="D291">
        <v>1888</v>
      </c>
    </row>
    <row r="292" spans="1:4" hidden="1" x14ac:dyDescent="0.2">
      <c r="A292">
        <v>2009</v>
      </c>
      <c r="B292" t="s">
        <v>401</v>
      </c>
      <c r="D292">
        <v>117</v>
      </c>
    </row>
    <row r="293" spans="1:4" hidden="1" x14ac:dyDescent="0.2">
      <c r="A293">
        <v>2009</v>
      </c>
      <c r="B293" t="s">
        <v>402</v>
      </c>
      <c r="D293">
        <v>19899</v>
      </c>
    </row>
    <row r="294" spans="1:4" hidden="1" x14ac:dyDescent="0.2">
      <c r="A294">
        <v>2009</v>
      </c>
      <c r="B294" t="s">
        <v>403</v>
      </c>
      <c r="D294">
        <v>201</v>
      </c>
    </row>
    <row r="295" spans="1:4" hidden="1" x14ac:dyDescent="0.2">
      <c r="A295">
        <v>2009</v>
      </c>
      <c r="B295" t="s">
        <v>404</v>
      </c>
      <c r="D295">
        <v>5</v>
      </c>
    </row>
    <row r="296" spans="1:4" hidden="1" x14ac:dyDescent="0.2">
      <c r="A296">
        <v>2009</v>
      </c>
      <c r="B296" t="s">
        <v>405</v>
      </c>
      <c r="D296">
        <v>305</v>
      </c>
    </row>
    <row r="297" spans="1:4" hidden="1" x14ac:dyDescent="0.2">
      <c r="A297">
        <v>2009</v>
      </c>
      <c r="B297" t="s">
        <v>406</v>
      </c>
      <c r="D297">
        <v>101</v>
      </c>
    </row>
    <row r="298" spans="1:4" hidden="1" x14ac:dyDescent="0.2">
      <c r="A298">
        <v>2009</v>
      </c>
      <c r="B298" t="s">
        <v>407</v>
      </c>
      <c r="D298">
        <v>121</v>
      </c>
    </row>
    <row r="299" spans="1:4" hidden="1" x14ac:dyDescent="0.2">
      <c r="A299">
        <v>2009</v>
      </c>
      <c r="B299" t="s">
        <v>408</v>
      </c>
      <c r="D299">
        <v>300</v>
      </c>
    </row>
    <row r="300" spans="1:4" hidden="1" x14ac:dyDescent="0.2">
      <c r="A300">
        <v>2009</v>
      </c>
      <c r="B300" t="s">
        <v>409</v>
      </c>
      <c r="D300">
        <v>22334</v>
      </c>
    </row>
    <row r="301" spans="1:4" hidden="1" x14ac:dyDescent="0.2">
      <c r="A301">
        <v>2009</v>
      </c>
      <c r="B301" t="s">
        <v>410</v>
      </c>
      <c r="D301">
        <v>27621</v>
      </c>
    </row>
    <row r="302" spans="1:4" hidden="1" x14ac:dyDescent="0.2">
      <c r="A302">
        <v>2009</v>
      </c>
      <c r="B302" t="s">
        <v>411</v>
      </c>
      <c r="D302">
        <v>8</v>
      </c>
    </row>
    <row r="303" spans="1:4" hidden="1" x14ac:dyDescent="0.2">
      <c r="A303">
        <v>2009</v>
      </c>
      <c r="B303" t="s">
        <v>412</v>
      </c>
      <c r="D303">
        <v>1384</v>
      </c>
    </row>
    <row r="304" spans="1:4" hidden="1" x14ac:dyDescent="0.2">
      <c r="A304">
        <v>2009</v>
      </c>
      <c r="B304" t="s">
        <v>413</v>
      </c>
      <c r="D304">
        <v>5</v>
      </c>
    </row>
    <row r="305" spans="1:4" hidden="1" x14ac:dyDescent="0.2">
      <c r="A305">
        <v>2009</v>
      </c>
      <c r="B305" t="s">
        <v>414</v>
      </c>
      <c r="D305">
        <v>36846</v>
      </c>
    </row>
    <row r="306" spans="1:4" hidden="1" x14ac:dyDescent="0.2">
      <c r="A306">
        <v>2009</v>
      </c>
      <c r="B306" t="s">
        <v>445</v>
      </c>
      <c r="D306">
        <v>30</v>
      </c>
    </row>
    <row r="307" spans="1:4" hidden="1" x14ac:dyDescent="0.2">
      <c r="A307">
        <v>2009</v>
      </c>
      <c r="B307" t="s">
        <v>415</v>
      </c>
      <c r="D307">
        <v>8</v>
      </c>
    </row>
    <row r="308" spans="1:4" hidden="1" x14ac:dyDescent="0.2">
      <c r="A308">
        <v>2009</v>
      </c>
      <c r="B308" t="s">
        <v>416</v>
      </c>
      <c r="D308">
        <v>101</v>
      </c>
    </row>
    <row r="309" spans="1:4" hidden="1" x14ac:dyDescent="0.2">
      <c r="A309">
        <v>2009</v>
      </c>
      <c r="B309" t="s">
        <v>448</v>
      </c>
      <c r="D309">
        <v>28</v>
      </c>
    </row>
    <row r="310" spans="1:4" hidden="1" x14ac:dyDescent="0.2">
      <c r="A310">
        <v>2009</v>
      </c>
      <c r="B310" t="s">
        <v>417</v>
      </c>
      <c r="D310">
        <v>59590</v>
      </c>
    </row>
    <row r="311" spans="1:4" hidden="1" x14ac:dyDescent="0.2">
      <c r="A311">
        <v>2009</v>
      </c>
      <c r="B311" t="s">
        <v>418</v>
      </c>
      <c r="D311">
        <v>1830</v>
      </c>
    </row>
    <row r="312" spans="1:4" hidden="1" x14ac:dyDescent="0.2">
      <c r="A312">
        <v>2009</v>
      </c>
      <c r="B312" t="s">
        <v>419</v>
      </c>
      <c r="D312">
        <v>68</v>
      </c>
    </row>
    <row r="313" spans="1:4" hidden="1" x14ac:dyDescent="0.2">
      <c r="A313">
        <v>2009</v>
      </c>
      <c r="B313" t="s">
        <v>420</v>
      </c>
      <c r="D313">
        <v>7</v>
      </c>
    </row>
    <row r="314" spans="1:4" hidden="1" x14ac:dyDescent="0.2">
      <c r="A314">
        <v>2009</v>
      </c>
      <c r="B314" t="s">
        <v>421</v>
      </c>
      <c r="D314">
        <v>2408</v>
      </c>
    </row>
    <row r="315" spans="1:4" hidden="1" x14ac:dyDescent="0.2">
      <c r="A315">
        <v>2009</v>
      </c>
      <c r="B315" t="s">
        <v>422</v>
      </c>
      <c r="D315">
        <v>2645</v>
      </c>
    </row>
    <row r="316" spans="1:4" hidden="1" x14ac:dyDescent="0.2">
      <c r="A316">
        <v>2009</v>
      </c>
      <c r="B316" t="s">
        <v>423</v>
      </c>
      <c r="D316">
        <v>1822</v>
      </c>
    </row>
    <row r="317" spans="1:4" hidden="1" x14ac:dyDescent="0.2">
      <c r="A317">
        <v>2009</v>
      </c>
      <c r="B317" t="s">
        <v>424</v>
      </c>
      <c r="D317">
        <v>4462</v>
      </c>
    </row>
    <row r="318" spans="1:4" hidden="1" x14ac:dyDescent="0.2">
      <c r="A318">
        <v>2009</v>
      </c>
      <c r="B318" t="s">
        <v>425</v>
      </c>
      <c r="D318">
        <v>2661</v>
      </c>
    </row>
    <row r="319" spans="1:4" hidden="1" x14ac:dyDescent="0.2">
      <c r="A319">
        <v>2009</v>
      </c>
      <c r="B319" t="s">
        <v>426</v>
      </c>
      <c r="D319">
        <v>138</v>
      </c>
    </row>
    <row r="320" spans="1:4" hidden="1" x14ac:dyDescent="0.2">
      <c r="A320">
        <v>2009</v>
      </c>
      <c r="B320" t="s">
        <v>427</v>
      </c>
      <c r="D320">
        <v>54</v>
      </c>
    </row>
    <row r="321" spans="1:4" hidden="1" x14ac:dyDescent="0.2">
      <c r="A321">
        <v>2009</v>
      </c>
      <c r="B321" t="s">
        <v>428</v>
      </c>
      <c r="D321">
        <v>1365</v>
      </c>
    </row>
    <row r="322" spans="1:4" hidden="1" x14ac:dyDescent="0.2">
      <c r="A322">
        <v>2009</v>
      </c>
      <c r="B322" t="s">
        <v>429</v>
      </c>
      <c r="D322">
        <v>26</v>
      </c>
    </row>
    <row r="323" spans="1:4" hidden="1" x14ac:dyDescent="0.2">
      <c r="A323">
        <v>2009</v>
      </c>
      <c r="B323" t="s">
        <v>430</v>
      </c>
      <c r="D323">
        <v>341</v>
      </c>
    </row>
    <row r="324" spans="1:4" hidden="1" x14ac:dyDescent="0.2">
      <c r="A324">
        <v>2009</v>
      </c>
      <c r="B324" t="s">
        <v>431</v>
      </c>
      <c r="D324">
        <v>350</v>
      </c>
    </row>
    <row r="325" spans="1:4" hidden="1" x14ac:dyDescent="0.2">
      <c r="A325">
        <v>2009</v>
      </c>
      <c r="B325" t="s">
        <v>432</v>
      </c>
      <c r="D325">
        <v>13463</v>
      </c>
    </row>
    <row r="326" spans="1:4" hidden="1" x14ac:dyDescent="0.2">
      <c r="A326">
        <v>2009</v>
      </c>
      <c r="B326" t="s">
        <v>433</v>
      </c>
      <c r="D326">
        <v>8</v>
      </c>
    </row>
    <row r="327" spans="1:4" hidden="1" x14ac:dyDescent="0.2">
      <c r="A327">
        <v>2009</v>
      </c>
      <c r="B327" t="s">
        <v>434</v>
      </c>
      <c r="D327">
        <v>14592</v>
      </c>
    </row>
    <row r="328" spans="1:4" hidden="1" x14ac:dyDescent="0.2">
      <c r="A328">
        <v>2009</v>
      </c>
      <c r="B328" t="s">
        <v>442</v>
      </c>
      <c r="D328">
        <v>6</v>
      </c>
    </row>
    <row r="329" spans="1:4" hidden="1" x14ac:dyDescent="0.2">
      <c r="A329">
        <v>2009</v>
      </c>
      <c r="B329" t="s">
        <v>435</v>
      </c>
      <c r="D329">
        <v>161074</v>
      </c>
    </row>
    <row r="330" spans="1:4" hidden="1" x14ac:dyDescent="0.2">
      <c r="A330">
        <v>2009</v>
      </c>
      <c r="B330" t="s">
        <v>436</v>
      </c>
      <c r="D330">
        <v>33</v>
      </c>
    </row>
    <row r="331" spans="1:4" hidden="1" x14ac:dyDescent="0.2">
      <c r="A331">
        <v>2009</v>
      </c>
      <c r="B331" t="s">
        <v>437</v>
      </c>
      <c r="D331">
        <v>6780</v>
      </c>
    </row>
    <row r="332" spans="1:4" hidden="1" x14ac:dyDescent="0.2">
      <c r="A332">
        <v>2009</v>
      </c>
      <c r="B332" t="s">
        <v>438</v>
      </c>
      <c r="D332">
        <v>6165</v>
      </c>
    </row>
    <row r="333" spans="1:4" hidden="1" x14ac:dyDescent="0.2">
      <c r="A333">
        <v>2009</v>
      </c>
      <c r="B333" t="s">
        <v>449</v>
      </c>
      <c r="D333">
        <v>61</v>
      </c>
    </row>
    <row r="334" spans="1:4" hidden="1" x14ac:dyDescent="0.2">
      <c r="A334">
        <v>2009</v>
      </c>
      <c r="B334" t="s">
        <v>450</v>
      </c>
      <c r="D334">
        <v>47</v>
      </c>
    </row>
    <row r="335" spans="1:4" hidden="1" x14ac:dyDescent="0.2">
      <c r="A335">
        <v>2010</v>
      </c>
      <c r="B335" t="s">
        <v>379</v>
      </c>
      <c r="D335">
        <v>924</v>
      </c>
    </row>
    <row r="336" spans="1:4" hidden="1" x14ac:dyDescent="0.2">
      <c r="A336">
        <v>2010</v>
      </c>
      <c r="B336" t="s">
        <v>380</v>
      </c>
      <c r="D336">
        <v>134</v>
      </c>
    </row>
    <row r="337" spans="1:4" hidden="1" x14ac:dyDescent="0.2">
      <c r="A337">
        <v>2010</v>
      </c>
      <c r="B337" t="s">
        <v>381</v>
      </c>
      <c r="D337">
        <v>7645</v>
      </c>
    </row>
    <row r="338" spans="1:4" hidden="1" x14ac:dyDescent="0.2">
      <c r="A338">
        <v>2010</v>
      </c>
      <c r="B338" t="s">
        <v>382</v>
      </c>
      <c r="D338">
        <v>152</v>
      </c>
    </row>
    <row r="339" spans="1:4" hidden="1" x14ac:dyDescent="0.2">
      <c r="A339">
        <v>2010</v>
      </c>
      <c r="B339" t="s">
        <v>383</v>
      </c>
      <c r="D339">
        <v>26411</v>
      </c>
    </row>
    <row r="340" spans="1:4" hidden="1" x14ac:dyDescent="0.2">
      <c r="A340">
        <v>2010</v>
      </c>
      <c r="B340" t="s">
        <v>384</v>
      </c>
      <c r="D340">
        <v>268</v>
      </c>
    </row>
    <row r="341" spans="1:4" hidden="1" x14ac:dyDescent="0.2">
      <c r="A341">
        <v>2010</v>
      </c>
      <c r="B341" t="s">
        <v>446</v>
      </c>
      <c r="D341">
        <v>66</v>
      </c>
    </row>
    <row r="342" spans="1:4" hidden="1" x14ac:dyDescent="0.2">
      <c r="A342">
        <v>2010</v>
      </c>
      <c r="B342" t="s">
        <v>439</v>
      </c>
      <c r="D342">
        <v>1759</v>
      </c>
    </row>
    <row r="343" spans="1:4" hidden="1" x14ac:dyDescent="0.2">
      <c r="A343">
        <v>2010</v>
      </c>
      <c r="B343" t="s">
        <v>386</v>
      </c>
      <c r="D343">
        <v>10653</v>
      </c>
    </row>
    <row r="344" spans="1:4" hidden="1" x14ac:dyDescent="0.2">
      <c r="A344">
        <v>2010</v>
      </c>
      <c r="B344" t="s">
        <v>387</v>
      </c>
      <c r="D344">
        <v>661</v>
      </c>
    </row>
    <row r="345" spans="1:4" hidden="1" x14ac:dyDescent="0.2">
      <c r="A345">
        <v>2010</v>
      </c>
      <c r="B345" t="s">
        <v>388</v>
      </c>
      <c r="D345">
        <v>1275</v>
      </c>
    </row>
    <row r="346" spans="1:4" hidden="1" x14ac:dyDescent="0.2">
      <c r="A346">
        <v>2010</v>
      </c>
      <c r="B346" t="s">
        <v>389</v>
      </c>
      <c r="D346">
        <v>77</v>
      </c>
    </row>
    <row r="347" spans="1:4" hidden="1" x14ac:dyDescent="0.2">
      <c r="A347">
        <v>2010</v>
      </c>
      <c r="B347" t="s">
        <v>390</v>
      </c>
      <c r="D347">
        <v>2557</v>
      </c>
    </row>
    <row r="348" spans="1:4" hidden="1" x14ac:dyDescent="0.2">
      <c r="A348">
        <v>2010</v>
      </c>
      <c r="B348" t="s">
        <v>391</v>
      </c>
      <c r="D348">
        <v>20</v>
      </c>
    </row>
    <row r="349" spans="1:4" hidden="1" x14ac:dyDescent="0.2">
      <c r="A349">
        <v>2010</v>
      </c>
      <c r="B349" t="s">
        <v>392</v>
      </c>
      <c r="D349">
        <v>13</v>
      </c>
    </row>
    <row r="350" spans="1:4" hidden="1" x14ac:dyDescent="0.2">
      <c r="A350">
        <v>2010</v>
      </c>
      <c r="B350" t="s">
        <v>440</v>
      </c>
      <c r="D350">
        <v>51</v>
      </c>
    </row>
    <row r="351" spans="1:4" hidden="1" x14ac:dyDescent="0.2">
      <c r="A351">
        <v>2010</v>
      </c>
      <c r="B351" t="s">
        <v>443</v>
      </c>
      <c r="D351">
        <v>103</v>
      </c>
    </row>
    <row r="352" spans="1:4" hidden="1" x14ac:dyDescent="0.2">
      <c r="A352">
        <v>2010</v>
      </c>
      <c r="B352" t="s">
        <v>393</v>
      </c>
      <c r="D352">
        <v>360</v>
      </c>
    </row>
    <row r="353" spans="1:4" hidden="1" x14ac:dyDescent="0.2">
      <c r="A353">
        <v>2010</v>
      </c>
      <c r="B353" t="s">
        <v>394</v>
      </c>
      <c r="D353">
        <v>2246</v>
      </c>
    </row>
    <row r="354" spans="1:4" hidden="1" x14ac:dyDescent="0.2">
      <c r="A354">
        <v>2010</v>
      </c>
      <c r="B354" t="s">
        <v>395</v>
      </c>
      <c r="D354">
        <v>3762</v>
      </c>
    </row>
    <row r="355" spans="1:4" hidden="1" x14ac:dyDescent="0.2">
      <c r="A355">
        <v>2010</v>
      </c>
      <c r="B355" t="s">
        <v>441</v>
      </c>
      <c r="D355">
        <v>770</v>
      </c>
    </row>
    <row r="356" spans="1:4" hidden="1" x14ac:dyDescent="0.2">
      <c r="A356">
        <v>2010</v>
      </c>
      <c r="B356" t="s">
        <v>447</v>
      </c>
      <c r="D356">
        <v>6</v>
      </c>
    </row>
    <row r="357" spans="1:4" hidden="1" x14ac:dyDescent="0.2">
      <c r="A357">
        <v>2010</v>
      </c>
      <c r="B357" t="s">
        <v>444</v>
      </c>
      <c r="D357">
        <v>333</v>
      </c>
    </row>
    <row r="358" spans="1:4" hidden="1" x14ac:dyDescent="0.2">
      <c r="A358">
        <v>2010</v>
      </c>
      <c r="B358" t="s">
        <v>396</v>
      </c>
      <c r="D358">
        <v>7</v>
      </c>
    </row>
    <row r="359" spans="1:4" hidden="1" x14ac:dyDescent="0.2">
      <c r="A359">
        <v>2010</v>
      </c>
      <c r="B359" t="s">
        <v>397</v>
      </c>
      <c r="D359">
        <v>91494</v>
      </c>
    </row>
    <row r="360" spans="1:4" hidden="1" x14ac:dyDescent="0.2">
      <c r="A360">
        <v>2010</v>
      </c>
      <c r="B360" t="s">
        <v>451</v>
      </c>
      <c r="D360">
        <v>23</v>
      </c>
    </row>
    <row r="361" spans="1:4" hidden="1" x14ac:dyDescent="0.2">
      <c r="A361">
        <v>2010</v>
      </c>
      <c r="B361" t="s">
        <v>398</v>
      </c>
      <c r="D361">
        <v>44031</v>
      </c>
    </row>
    <row r="362" spans="1:4" hidden="1" x14ac:dyDescent="0.2">
      <c r="A362">
        <v>2010</v>
      </c>
      <c r="B362" t="s">
        <v>399</v>
      </c>
      <c r="D362">
        <v>9</v>
      </c>
    </row>
    <row r="363" spans="1:4" hidden="1" x14ac:dyDescent="0.2">
      <c r="A363">
        <v>2010</v>
      </c>
      <c r="B363" t="s">
        <v>400</v>
      </c>
      <c r="D363">
        <v>2062</v>
      </c>
    </row>
    <row r="364" spans="1:4" hidden="1" x14ac:dyDescent="0.2">
      <c r="A364">
        <v>2010</v>
      </c>
      <c r="B364" t="s">
        <v>401</v>
      </c>
      <c r="D364">
        <v>132</v>
      </c>
    </row>
    <row r="365" spans="1:4" hidden="1" x14ac:dyDescent="0.2">
      <c r="A365">
        <v>2010</v>
      </c>
      <c r="B365" t="s">
        <v>402</v>
      </c>
      <c r="D365">
        <v>22285</v>
      </c>
    </row>
    <row r="366" spans="1:4" hidden="1" x14ac:dyDescent="0.2">
      <c r="A366">
        <v>2010</v>
      </c>
      <c r="B366" t="s">
        <v>403</v>
      </c>
      <c r="D366">
        <v>250</v>
      </c>
    </row>
    <row r="367" spans="1:4" hidden="1" x14ac:dyDescent="0.2">
      <c r="A367">
        <v>2010</v>
      </c>
      <c r="B367" t="s">
        <v>404</v>
      </c>
      <c r="D367">
        <v>5</v>
      </c>
    </row>
    <row r="368" spans="1:4" hidden="1" x14ac:dyDescent="0.2">
      <c r="A368">
        <v>2010</v>
      </c>
      <c r="B368" t="s">
        <v>405</v>
      </c>
      <c r="D368">
        <v>392</v>
      </c>
    </row>
    <row r="369" spans="1:4" hidden="1" x14ac:dyDescent="0.2">
      <c r="A369">
        <v>2010</v>
      </c>
      <c r="B369" t="s">
        <v>406</v>
      </c>
      <c r="D369">
        <v>115</v>
      </c>
    </row>
    <row r="370" spans="1:4" hidden="1" x14ac:dyDescent="0.2">
      <c r="A370">
        <v>2010</v>
      </c>
      <c r="B370" t="s">
        <v>407</v>
      </c>
      <c r="D370">
        <v>121</v>
      </c>
    </row>
    <row r="371" spans="1:4" hidden="1" x14ac:dyDescent="0.2">
      <c r="A371">
        <v>2010</v>
      </c>
      <c r="B371" t="s">
        <v>408</v>
      </c>
      <c r="D371">
        <v>382</v>
      </c>
    </row>
    <row r="372" spans="1:4" hidden="1" x14ac:dyDescent="0.2">
      <c r="A372">
        <v>2010</v>
      </c>
      <c r="B372" t="s">
        <v>409</v>
      </c>
      <c r="D372">
        <v>22527</v>
      </c>
    </row>
    <row r="373" spans="1:4" hidden="1" x14ac:dyDescent="0.2">
      <c r="A373">
        <v>2010</v>
      </c>
      <c r="B373" t="s">
        <v>410</v>
      </c>
      <c r="D373">
        <v>30467</v>
      </c>
    </row>
    <row r="374" spans="1:4" hidden="1" x14ac:dyDescent="0.2">
      <c r="A374">
        <v>2010</v>
      </c>
      <c r="B374" t="s">
        <v>411</v>
      </c>
      <c r="D374">
        <v>8</v>
      </c>
    </row>
    <row r="375" spans="1:4" hidden="1" x14ac:dyDescent="0.2">
      <c r="A375">
        <v>2010</v>
      </c>
      <c r="B375" t="s">
        <v>412</v>
      </c>
      <c r="D375">
        <v>1656</v>
      </c>
    </row>
    <row r="376" spans="1:4" hidden="1" x14ac:dyDescent="0.2">
      <c r="A376">
        <v>2010</v>
      </c>
      <c r="B376" t="s">
        <v>413</v>
      </c>
      <c r="D376">
        <v>5</v>
      </c>
    </row>
    <row r="377" spans="1:4" hidden="1" x14ac:dyDescent="0.2">
      <c r="A377">
        <v>2010</v>
      </c>
      <c r="B377" t="s">
        <v>414</v>
      </c>
      <c r="D377">
        <v>36412</v>
      </c>
    </row>
    <row r="378" spans="1:4" hidden="1" x14ac:dyDescent="0.2">
      <c r="A378">
        <v>2010</v>
      </c>
      <c r="B378" t="s">
        <v>445</v>
      </c>
      <c r="D378">
        <v>38</v>
      </c>
    </row>
    <row r="379" spans="1:4" hidden="1" x14ac:dyDescent="0.2">
      <c r="A379">
        <v>2010</v>
      </c>
      <c r="B379" t="s">
        <v>415</v>
      </c>
      <c r="D379">
        <v>8</v>
      </c>
    </row>
    <row r="380" spans="1:4" hidden="1" x14ac:dyDescent="0.2">
      <c r="A380">
        <v>2010</v>
      </c>
      <c r="B380" t="s">
        <v>416</v>
      </c>
      <c r="D380">
        <v>98</v>
      </c>
    </row>
    <row r="381" spans="1:4" hidden="1" x14ac:dyDescent="0.2">
      <c r="A381">
        <v>2010</v>
      </c>
      <c r="B381" t="s">
        <v>448</v>
      </c>
      <c r="D381">
        <v>31</v>
      </c>
    </row>
    <row r="382" spans="1:4" hidden="1" x14ac:dyDescent="0.2">
      <c r="A382">
        <v>2010</v>
      </c>
      <c r="B382" t="s">
        <v>417</v>
      </c>
      <c r="D382">
        <v>58442</v>
      </c>
    </row>
    <row r="383" spans="1:4" hidden="1" x14ac:dyDescent="0.2">
      <c r="A383">
        <v>2010</v>
      </c>
      <c r="B383" t="s">
        <v>418</v>
      </c>
      <c r="D383">
        <v>1794</v>
      </c>
    </row>
    <row r="384" spans="1:4" hidden="1" x14ac:dyDescent="0.2">
      <c r="A384">
        <v>2010</v>
      </c>
      <c r="B384" t="s">
        <v>419</v>
      </c>
      <c r="D384">
        <v>70</v>
      </c>
    </row>
    <row r="385" spans="1:4" hidden="1" x14ac:dyDescent="0.2">
      <c r="A385">
        <v>2010</v>
      </c>
      <c r="B385" t="s">
        <v>420</v>
      </c>
      <c r="D385">
        <v>7</v>
      </c>
    </row>
    <row r="386" spans="1:4" hidden="1" x14ac:dyDescent="0.2">
      <c r="A386">
        <v>2010</v>
      </c>
      <c r="B386" t="s">
        <v>421</v>
      </c>
      <c r="D386">
        <v>2535</v>
      </c>
    </row>
    <row r="387" spans="1:4" hidden="1" x14ac:dyDescent="0.2">
      <c r="A387">
        <v>2010</v>
      </c>
      <c r="B387" t="s">
        <v>422</v>
      </c>
      <c r="D387">
        <v>2739</v>
      </c>
    </row>
    <row r="388" spans="1:4" hidden="1" x14ac:dyDescent="0.2">
      <c r="A388">
        <v>2010</v>
      </c>
      <c r="B388" t="s">
        <v>423</v>
      </c>
      <c r="D388">
        <v>2250</v>
      </c>
    </row>
    <row r="389" spans="1:4" hidden="1" x14ac:dyDescent="0.2">
      <c r="A389">
        <v>2010</v>
      </c>
      <c r="B389" t="s">
        <v>424</v>
      </c>
      <c r="D389">
        <v>4467</v>
      </c>
    </row>
    <row r="390" spans="1:4" hidden="1" x14ac:dyDescent="0.2">
      <c r="A390">
        <v>2010</v>
      </c>
      <c r="B390" t="s">
        <v>425</v>
      </c>
      <c r="D390">
        <v>2574</v>
      </c>
    </row>
    <row r="391" spans="1:4" hidden="1" x14ac:dyDescent="0.2">
      <c r="A391">
        <v>2010</v>
      </c>
      <c r="B391" t="s">
        <v>426</v>
      </c>
      <c r="D391">
        <v>172</v>
      </c>
    </row>
    <row r="392" spans="1:4" hidden="1" x14ac:dyDescent="0.2">
      <c r="A392">
        <v>2010</v>
      </c>
      <c r="B392" t="s">
        <v>427</v>
      </c>
      <c r="D392">
        <v>39</v>
      </c>
    </row>
    <row r="393" spans="1:4" hidden="1" x14ac:dyDescent="0.2">
      <c r="A393">
        <v>2010</v>
      </c>
      <c r="B393" t="s">
        <v>428</v>
      </c>
      <c r="D393">
        <v>1250</v>
      </c>
    </row>
    <row r="394" spans="1:4" hidden="1" x14ac:dyDescent="0.2">
      <c r="A394">
        <v>2010</v>
      </c>
      <c r="B394" t="s">
        <v>429</v>
      </c>
      <c r="D394">
        <v>14</v>
      </c>
    </row>
    <row r="395" spans="1:4" hidden="1" x14ac:dyDescent="0.2">
      <c r="A395">
        <v>2010</v>
      </c>
      <c r="B395" t="s">
        <v>430</v>
      </c>
      <c r="D395">
        <v>424</v>
      </c>
    </row>
    <row r="396" spans="1:4" hidden="1" x14ac:dyDescent="0.2">
      <c r="A396">
        <v>2010</v>
      </c>
      <c r="B396" t="s">
        <v>431</v>
      </c>
      <c r="D396">
        <v>358</v>
      </c>
    </row>
    <row r="397" spans="1:4" hidden="1" x14ac:dyDescent="0.2">
      <c r="A397">
        <v>2010</v>
      </c>
      <c r="B397" t="s">
        <v>432</v>
      </c>
      <c r="D397">
        <v>13929</v>
      </c>
    </row>
    <row r="398" spans="1:4" hidden="1" x14ac:dyDescent="0.2">
      <c r="A398">
        <v>2010</v>
      </c>
      <c r="B398" t="s">
        <v>433</v>
      </c>
      <c r="D398">
        <v>8</v>
      </c>
    </row>
    <row r="399" spans="1:4" hidden="1" x14ac:dyDescent="0.2">
      <c r="A399">
        <v>2010</v>
      </c>
      <c r="B399" t="s">
        <v>434</v>
      </c>
      <c r="D399">
        <v>14863</v>
      </c>
    </row>
    <row r="400" spans="1:4" hidden="1" x14ac:dyDescent="0.2">
      <c r="A400">
        <v>2010</v>
      </c>
      <c r="B400" t="s">
        <v>442</v>
      </c>
      <c r="D400">
        <v>7</v>
      </c>
    </row>
    <row r="401" spans="1:4" hidden="1" x14ac:dyDescent="0.2">
      <c r="A401">
        <v>2010</v>
      </c>
      <c r="B401" t="s">
        <v>435</v>
      </c>
      <c r="D401">
        <v>162125</v>
      </c>
    </row>
    <row r="402" spans="1:4" hidden="1" x14ac:dyDescent="0.2">
      <c r="A402">
        <v>2010</v>
      </c>
      <c r="B402" t="s">
        <v>436</v>
      </c>
      <c r="D402">
        <v>33</v>
      </c>
    </row>
    <row r="403" spans="1:4" hidden="1" x14ac:dyDescent="0.2">
      <c r="A403">
        <v>2010</v>
      </c>
      <c r="B403" t="s">
        <v>437</v>
      </c>
      <c r="D403">
        <v>10123</v>
      </c>
    </row>
    <row r="404" spans="1:4" hidden="1" x14ac:dyDescent="0.2">
      <c r="A404">
        <v>2010</v>
      </c>
      <c r="B404" t="s">
        <v>438</v>
      </c>
      <c r="D404">
        <v>6607</v>
      </c>
    </row>
    <row r="405" spans="1:4" hidden="1" x14ac:dyDescent="0.2">
      <c r="A405">
        <v>2010</v>
      </c>
      <c r="B405" t="s">
        <v>449</v>
      </c>
      <c r="D405">
        <v>60</v>
      </c>
    </row>
    <row r="406" spans="1:4" hidden="1" x14ac:dyDescent="0.2">
      <c r="A406">
        <v>2010</v>
      </c>
      <c r="B406" t="s">
        <v>450</v>
      </c>
      <c r="D406">
        <v>52</v>
      </c>
    </row>
    <row r="407" spans="1:4" hidden="1" x14ac:dyDescent="0.2">
      <c r="A407">
        <v>2011</v>
      </c>
      <c r="B407" t="s">
        <v>379</v>
      </c>
      <c r="D407">
        <v>925</v>
      </c>
    </row>
    <row r="408" spans="1:4" hidden="1" x14ac:dyDescent="0.2">
      <c r="A408">
        <v>2011</v>
      </c>
      <c r="B408" t="s">
        <v>380</v>
      </c>
      <c r="D408">
        <v>158</v>
      </c>
    </row>
    <row r="409" spans="1:4" hidden="1" x14ac:dyDescent="0.2">
      <c r="A409">
        <v>2011</v>
      </c>
      <c r="B409" t="s">
        <v>381</v>
      </c>
      <c r="D409">
        <v>9641</v>
      </c>
    </row>
    <row r="410" spans="1:4" hidden="1" x14ac:dyDescent="0.2">
      <c r="A410">
        <v>2011</v>
      </c>
      <c r="B410" t="s">
        <v>382</v>
      </c>
      <c r="D410">
        <v>148</v>
      </c>
    </row>
    <row r="411" spans="1:4" hidden="1" x14ac:dyDescent="0.2">
      <c r="A411">
        <v>2011</v>
      </c>
      <c r="B411" t="s">
        <v>383</v>
      </c>
      <c r="D411">
        <v>30496</v>
      </c>
    </row>
    <row r="412" spans="1:4" hidden="1" x14ac:dyDescent="0.2">
      <c r="A412">
        <v>2011</v>
      </c>
      <c r="B412" t="s">
        <v>384</v>
      </c>
      <c r="D412">
        <v>324</v>
      </c>
    </row>
    <row r="413" spans="1:4" hidden="1" x14ac:dyDescent="0.2">
      <c r="A413">
        <v>2011</v>
      </c>
      <c r="B413" t="s">
        <v>446</v>
      </c>
      <c r="D413">
        <v>66</v>
      </c>
    </row>
    <row r="414" spans="1:4" hidden="1" x14ac:dyDescent="0.2">
      <c r="A414">
        <v>2011</v>
      </c>
      <c r="B414" t="s">
        <v>439</v>
      </c>
      <c r="D414">
        <v>1758</v>
      </c>
    </row>
    <row r="415" spans="1:4" hidden="1" x14ac:dyDescent="0.2">
      <c r="A415">
        <v>2011</v>
      </c>
      <c r="B415" t="s">
        <v>386</v>
      </c>
      <c r="D415">
        <v>11202</v>
      </c>
    </row>
    <row r="416" spans="1:4" hidden="1" x14ac:dyDescent="0.2">
      <c r="A416">
        <v>2011</v>
      </c>
      <c r="B416" t="s">
        <v>387</v>
      </c>
      <c r="D416">
        <v>657</v>
      </c>
    </row>
    <row r="417" spans="1:4" hidden="1" x14ac:dyDescent="0.2">
      <c r="A417">
        <v>2011</v>
      </c>
      <c r="B417" t="s">
        <v>388</v>
      </c>
      <c r="D417">
        <v>1582</v>
      </c>
    </row>
    <row r="418" spans="1:4" hidden="1" x14ac:dyDescent="0.2">
      <c r="A418">
        <v>2011</v>
      </c>
      <c r="B418" t="s">
        <v>389</v>
      </c>
      <c r="D418">
        <v>47</v>
      </c>
    </row>
    <row r="419" spans="1:4" hidden="1" x14ac:dyDescent="0.2">
      <c r="A419">
        <v>2011</v>
      </c>
      <c r="B419" t="s">
        <v>390</v>
      </c>
      <c r="D419">
        <v>2484</v>
      </c>
    </row>
    <row r="420" spans="1:4" hidden="1" x14ac:dyDescent="0.2">
      <c r="A420">
        <v>2011</v>
      </c>
      <c r="B420" t="s">
        <v>391</v>
      </c>
      <c r="D420">
        <v>20</v>
      </c>
    </row>
    <row r="421" spans="1:4" hidden="1" x14ac:dyDescent="0.2">
      <c r="A421">
        <v>2011</v>
      </c>
      <c r="B421" t="s">
        <v>392</v>
      </c>
      <c r="D421">
        <v>10</v>
      </c>
    </row>
    <row r="422" spans="1:4" hidden="1" x14ac:dyDescent="0.2">
      <c r="A422">
        <v>2011</v>
      </c>
      <c r="B422" t="s">
        <v>440</v>
      </c>
      <c r="D422">
        <v>51</v>
      </c>
    </row>
    <row r="423" spans="1:4" hidden="1" x14ac:dyDescent="0.2">
      <c r="A423">
        <v>2011</v>
      </c>
      <c r="B423" t="s">
        <v>443</v>
      </c>
      <c r="D423">
        <v>103</v>
      </c>
    </row>
    <row r="424" spans="1:4" hidden="1" x14ac:dyDescent="0.2">
      <c r="A424">
        <v>2011</v>
      </c>
      <c r="B424" t="s">
        <v>393</v>
      </c>
      <c r="D424">
        <v>449</v>
      </c>
    </row>
    <row r="425" spans="1:4" hidden="1" x14ac:dyDescent="0.2">
      <c r="A425">
        <v>2011</v>
      </c>
      <c r="B425" t="s">
        <v>394</v>
      </c>
      <c r="D425">
        <v>2354</v>
      </c>
    </row>
    <row r="426" spans="1:4" hidden="1" x14ac:dyDescent="0.2">
      <c r="A426">
        <v>2011</v>
      </c>
      <c r="B426" t="s">
        <v>395</v>
      </c>
      <c r="D426">
        <v>3716</v>
      </c>
    </row>
    <row r="427" spans="1:4" hidden="1" x14ac:dyDescent="0.2">
      <c r="A427">
        <v>2011</v>
      </c>
      <c r="B427" t="s">
        <v>452</v>
      </c>
      <c r="D427">
        <v>5</v>
      </c>
    </row>
    <row r="428" spans="1:4" hidden="1" x14ac:dyDescent="0.2">
      <c r="A428">
        <v>2011</v>
      </c>
      <c r="B428" t="s">
        <v>441</v>
      </c>
      <c r="D428">
        <v>757</v>
      </c>
    </row>
    <row r="429" spans="1:4" hidden="1" x14ac:dyDescent="0.2">
      <c r="A429">
        <v>2011</v>
      </c>
      <c r="B429" t="s">
        <v>447</v>
      </c>
      <c r="D429">
        <v>6</v>
      </c>
    </row>
    <row r="430" spans="1:4" hidden="1" x14ac:dyDescent="0.2">
      <c r="A430">
        <v>2011</v>
      </c>
      <c r="B430" t="s">
        <v>444</v>
      </c>
      <c r="D430">
        <v>330</v>
      </c>
    </row>
    <row r="431" spans="1:4" hidden="1" x14ac:dyDescent="0.2">
      <c r="A431">
        <v>2011</v>
      </c>
      <c r="B431" t="s">
        <v>396</v>
      </c>
      <c r="D431">
        <v>7</v>
      </c>
    </row>
    <row r="432" spans="1:4" hidden="1" x14ac:dyDescent="0.2">
      <c r="A432">
        <v>2011</v>
      </c>
      <c r="B432" t="s">
        <v>397</v>
      </c>
      <c r="D432">
        <v>89969</v>
      </c>
    </row>
    <row r="433" spans="1:4" hidden="1" x14ac:dyDescent="0.2">
      <c r="A433">
        <v>2011</v>
      </c>
      <c r="B433" t="s">
        <v>451</v>
      </c>
      <c r="D433">
        <v>23</v>
      </c>
    </row>
    <row r="434" spans="1:4" hidden="1" x14ac:dyDescent="0.2">
      <c r="A434">
        <v>2011</v>
      </c>
      <c r="B434" t="s">
        <v>398</v>
      </c>
      <c r="D434">
        <v>44177</v>
      </c>
    </row>
    <row r="435" spans="1:4" hidden="1" x14ac:dyDescent="0.2">
      <c r="A435">
        <v>2011</v>
      </c>
      <c r="B435" t="s">
        <v>453</v>
      </c>
      <c r="D435">
        <v>7</v>
      </c>
    </row>
    <row r="436" spans="1:4" hidden="1" x14ac:dyDescent="0.2">
      <c r="A436">
        <v>2011</v>
      </c>
      <c r="B436" t="s">
        <v>399</v>
      </c>
      <c r="D436">
        <v>9</v>
      </c>
    </row>
    <row r="437" spans="1:4" hidden="1" x14ac:dyDescent="0.2">
      <c r="A437">
        <v>2011</v>
      </c>
      <c r="B437" t="s">
        <v>400</v>
      </c>
      <c r="D437">
        <v>2355</v>
      </c>
    </row>
    <row r="438" spans="1:4" hidden="1" x14ac:dyDescent="0.2">
      <c r="A438">
        <v>2011</v>
      </c>
      <c r="B438" t="s">
        <v>401</v>
      </c>
      <c r="D438">
        <v>146</v>
      </c>
    </row>
    <row r="439" spans="1:4" hidden="1" x14ac:dyDescent="0.2">
      <c r="A439">
        <v>2011</v>
      </c>
      <c r="B439" t="s">
        <v>402</v>
      </c>
      <c r="D439">
        <v>22987</v>
      </c>
    </row>
    <row r="440" spans="1:4" hidden="1" x14ac:dyDescent="0.2">
      <c r="A440">
        <v>2011</v>
      </c>
      <c r="B440" t="s">
        <v>403</v>
      </c>
      <c r="D440">
        <v>291</v>
      </c>
    </row>
    <row r="441" spans="1:4" hidden="1" x14ac:dyDescent="0.2">
      <c r="A441">
        <v>2011</v>
      </c>
      <c r="B441" t="s">
        <v>404</v>
      </c>
      <c r="D441">
        <v>5</v>
      </c>
    </row>
    <row r="442" spans="1:4" hidden="1" x14ac:dyDescent="0.2">
      <c r="A442">
        <v>2011</v>
      </c>
      <c r="B442" t="s">
        <v>405</v>
      </c>
      <c r="D442">
        <v>615</v>
      </c>
    </row>
    <row r="443" spans="1:4" hidden="1" x14ac:dyDescent="0.2">
      <c r="A443">
        <v>2011</v>
      </c>
      <c r="B443" t="s">
        <v>406</v>
      </c>
      <c r="D443">
        <v>126</v>
      </c>
    </row>
    <row r="444" spans="1:4" hidden="1" x14ac:dyDescent="0.2">
      <c r="A444">
        <v>2011</v>
      </c>
      <c r="B444" t="s">
        <v>407</v>
      </c>
      <c r="D444">
        <v>120</v>
      </c>
    </row>
    <row r="445" spans="1:4" hidden="1" x14ac:dyDescent="0.2">
      <c r="A445">
        <v>2011</v>
      </c>
      <c r="B445" t="s">
        <v>408</v>
      </c>
      <c r="D445">
        <v>469</v>
      </c>
    </row>
    <row r="446" spans="1:4" hidden="1" x14ac:dyDescent="0.2">
      <c r="A446">
        <v>2011</v>
      </c>
      <c r="B446" t="s">
        <v>454</v>
      </c>
      <c r="D446">
        <v>5</v>
      </c>
    </row>
    <row r="447" spans="1:4" hidden="1" x14ac:dyDescent="0.2">
      <c r="A447">
        <v>2011</v>
      </c>
      <c r="B447" t="s">
        <v>409</v>
      </c>
      <c r="D447">
        <v>21990</v>
      </c>
    </row>
    <row r="448" spans="1:4" hidden="1" x14ac:dyDescent="0.2">
      <c r="A448">
        <v>2011</v>
      </c>
      <c r="B448" t="s">
        <v>410</v>
      </c>
      <c r="D448">
        <v>33057</v>
      </c>
    </row>
    <row r="449" spans="1:4" hidden="1" x14ac:dyDescent="0.2">
      <c r="A449">
        <v>2011</v>
      </c>
      <c r="B449" t="s">
        <v>411</v>
      </c>
      <c r="D449">
        <v>8</v>
      </c>
    </row>
    <row r="450" spans="1:4" hidden="1" x14ac:dyDescent="0.2">
      <c r="A450">
        <v>2011</v>
      </c>
      <c r="B450" t="s">
        <v>412</v>
      </c>
      <c r="D450">
        <v>2010</v>
      </c>
    </row>
    <row r="451" spans="1:4" hidden="1" x14ac:dyDescent="0.2">
      <c r="A451">
        <v>2011</v>
      </c>
      <c r="B451" t="s">
        <v>413</v>
      </c>
      <c r="D451">
        <v>5</v>
      </c>
    </row>
    <row r="452" spans="1:4" hidden="1" x14ac:dyDescent="0.2">
      <c r="A452">
        <v>2011</v>
      </c>
      <c r="B452" t="s">
        <v>414</v>
      </c>
      <c r="D452">
        <v>35558</v>
      </c>
    </row>
    <row r="453" spans="1:4" hidden="1" x14ac:dyDescent="0.2">
      <c r="A453">
        <v>2011</v>
      </c>
      <c r="B453" t="s">
        <v>445</v>
      </c>
      <c r="D453">
        <v>39</v>
      </c>
    </row>
    <row r="454" spans="1:4" hidden="1" x14ac:dyDescent="0.2">
      <c r="A454">
        <v>2011</v>
      </c>
      <c r="B454" t="s">
        <v>415</v>
      </c>
      <c r="D454">
        <v>8</v>
      </c>
    </row>
    <row r="455" spans="1:4" hidden="1" x14ac:dyDescent="0.2">
      <c r="A455">
        <v>2011</v>
      </c>
      <c r="B455" t="s">
        <v>416</v>
      </c>
      <c r="D455">
        <v>96</v>
      </c>
    </row>
    <row r="456" spans="1:4" hidden="1" x14ac:dyDescent="0.2">
      <c r="A456">
        <v>2011</v>
      </c>
      <c r="B456" t="s">
        <v>448</v>
      </c>
      <c r="D456">
        <v>31</v>
      </c>
    </row>
    <row r="457" spans="1:4" hidden="1" x14ac:dyDescent="0.2">
      <c r="A457">
        <v>2011</v>
      </c>
      <c r="B457" t="s">
        <v>417</v>
      </c>
      <c r="D457">
        <v>56380</v>
      </c>
    </row>
    <row r="458" spans="1:4" hidden="1" x14ac:dyDescent="0.2">
      <c r="A458">
        <v>2011</v>
      </c>
      <c r="B458" t="s">
        <v>418</v>
      </c>
      <c r="D458">
        <v>1768</v>
      </c>
    </row>
    <row r="459" spans="1:4" hidden="1" x14ac:dyDescent="0.2">
      <c r="A459">
        <v>2011</v>
      </c>
      <c r="B459" t="s">
        <v>419</v>
      </c>
      <c r="D459">
        <v>72</v>
      </c>
    </row>
    <row r="460" spans="1:4" hidden="1" x14ac:dyDescent="0.2">
      <c r="A460">
        <v>2011</v>
      </c>
      <c r="B460" t="s">
        <v>420</v>
      </c>
      <c r="D460">
        <v>7</v>
      </c>
    </row>
    <row r="461" spans="1:4" hidden="1" x14ac:dyDescent="0.2">
      <c r="A461">
        <v>2011</v>
      </c>
      <c r="B461" t="s">
        <v>421</v>
      </c>
      <c r="D461">
        <v>2529</v>
      </c>
    </row>
    <row r="462" spans="1:4" hidden="1" x14ac:dyDescent="0.2">
      <c r="A462">
        <v>2011</v>
      </c>
      <c r="B462" t="s">
        <v>422</v>
      </c>
      <c r="D462">
        <v>3117</v>
      </c>
    </row>
    <row r="463" spans="1:4" hidden="1" x14ac:dyDescent="0.2">
      <c r="A463">
        <v>2011</v>
      </c>
      <c r="B463" t="s">
        <v>423</v>
      </c>
      <c r="D463">
        <v>2784</v>
      </c>
    </row>
    <row r="464" spans="1:4" hidden="1" x14ac:dyDescent="0.2">
      <c r="A464">
        <v>2011</v>
      </c>
      <c r="B464" t="s">
        <v>424</v>
      </c>
      <c r="D464">
        <v>4281</v>
      </c>
    </row>
    <row r="465" spans="1:4" hidden="1" x14ac:dyDescent="0.2">
      <c r="A465">
        <v>2011</v>
      </c>
      <c r="B465" t="s">
        <v>425</v>
      </c>
      <c r="D465">
        <v>2702</v>
      </c>
    </row>
    <row r="466" spans="1:4" hidden="1" x14ac:dyDescent="0.2">
      <c r="A466">
        <v>2011</v>
      </c>
      <c r="B466" t="s">
        <v>426</v>
      </c>
      <c r="D466">
        <v>205</v>
      </c>
    </row>
    <row r="467" spans="1:4" hidden="1" x14ac:dyDescent="0.2">
      <c r="A467">
        <v>2011</v>
      </c>
      <c r="B467" t="s">
        <v>427</v>
      </c>
      <c r="D467">
        <v>34</v>
      </c>
    </row>
    <row r="468" spans="1:4" hidden="1" x14ac:dyDescent="0.2">
      <c r="A468">
        <v>2011</v>
      </c>
      <c r="B468" t="s">
        <v>428</v>
      </c>
      <c r="D468">
        <v>1213</v>
      </c>
    </row>
    <row r="469" spans="1:4" hidden="1" x14ac:dyDescent="0.2">
      <c r="A469">
        <v>2011</v>
      </c>
      <c r="B469" t="s">
        <v>429</v>
      </c>
      <c r="D469">
        <v>5</v>
      </c>
    </row>
    <row r="470" spans="1:4" hidden="1" x14ac:dyDescent="0.2">
      <c r="A470">
        <v>2011</v>
      </c>
      <c r="B470" t="s">
        <v>430</v>
      </c>
      <c r="D470">
        <v>478</v>
      </c>
    </row>
    <row r="471" spans="1:4" hidden="1" x14ac:dyDescent="0.2">
      <c r="A471">
        <v>2011</v>
      </c>
      <c r="B471" t="s">
        <v>431</v>
      </c>
      <c r="D471">
        <v>369</v>
      </c>
    </row>
    <row r="472" spans="1:4" hidden="1" x14ac:dyDescent="0.2">
      <c r="A472">
        <v>2011</v>
      </c>
      <c r="B472" t="s">
        <v>432</v>
      </c>
      <c r="D472">
        <v>13882</v>
      </c>
    </row>
    <row r="473" spans="1:4" hidden="1" x14ac:dyDescent="0.2">
      <c r="A473">
        <v>2011</v>
      </c>
      <c r="B473" t="s">
        <v>433</v>
      </c>
      <c r="D473">
        <v>6</v>
      </c>
    </row>
    <row r="474" spans="1:4" hidden="1" x14ac:dyDescent="0.2">
      <c r="A474">
        <v>2011</v>
      </c>
      <c r="B474" t="s">
        <v>434</v>
      </c>
      <c r="D474">
        <v>14778</v>
      </c>
    </row>
    <row r="475" spans="1:4" hidden="1" x14ac:dyDescent="0.2">
      <c r="A475">
        <v>2011</v>
      </c>
      <c r="B475" t="s">
        <v>442</v>
      </c>
      <c r="D475">
        <v>7</v>
      </c>
    </row>
    <row r="476" spans="1:4" hidden="1" x14ac:dyDescent="0.2">
      <c r="A476">
        <v>2011</v>
      </c>
      <c r="B476" t="s">
        <v>435</v>
      </c>
      <c r="D476">
        <v>159749</v>
      </c>
    </row>
    <row r="477" spans="1:4" hidden="1" x14ac:dyDescent="0.2">
      <c r="A477">
        <v>2011</v>
      </c>
      <c r="B477" t="s">
        <v>436</v>
      </c>
      <c r="D477">
        <v>31</v>
      </c>
    </row>
    <row r="478" spans="1:4" hidden="1" x14ac:dyDescent="0.2">
      <c r="A478">
        <v>2011</v>
      </c>
      <c r="B478" t="s">
        <v>437</v>
      </c>
      <c r="D478">
        <v>13223</v>
      </c>
    </row>
    <row r="479" spans="1:4" hidden="1" x14ac:dyDescent="0.2">
      <c r="A479">
        <v>2011</v>
      </c>
      <c r="B479" t="s">
        <v>438</v>
      </c>
      <c r="D479">
        <v>7148</v>
      </c>
    </row>
    <row r="480" spans="1:4" hidden="1" x14ac:dyDescent="0.2">
      <c r="A480">
        <v>2011</v>
      </c>
      <c r="B480" t="s">
        <v>449</v>
      </c>
      <c r="D480">
        <v>59</v>
      </c>
    </row>
    <row r="481" spans="1:4" hidden="1" x14ac:dyDescent="0.2">
      <c r="A481">
        <v>2011</v>
      </c>
      <c r="B481" t="s">
        <v>450</v>
      </c>
      <c r="D481">
        <v>51</v>
      </c>
    </row>
    <row r="482" spans="1:4" hidden="1" x14ac:dyDescent="0.2">
      <c r="A482">
        <v>2012</v>
      </c>
      <c r="B482" t="s">
        <v>379</v>
      </c>
      <c r="D482">
        <v>923</v>
      </c>
    </row>
    <row r="483" spans="1:4" hidden="1" x14ac:dyDescent="0.2">
      <c r="A483">
        <v>2012</v>
      </c>
      <c r="B483" t="s">
        <v>380</v>
      </c>
      <c r="D483">
        <v>179</v>
      </c>
    </row>
    <row r="484" spans="1:4" hidden="1" x14ac:dyDescent="0.2">
      <c r="A484">
        <v>2012</v>
      </c>
      <c r="B484" t="s">
        <v>381</v>
      </c>
      <c r="D484">
        <v>11227</v>
      </c>
    </row>
    <row r="485" spans="1:4" hidden="1" x14ac:dyDescent="0.2">
      <c r="A485">
        <v>2012</v>
      </c>
      <c r="B485" t="s">
        <v>382</v>
      </c>
      <c r="D485">
        <v>147</v>
      </c>
    </row>
    <row r="486" spans="1:4" hidden="1" x14ac:dyDescent="0.2">
      <c r="A486">
        <v>2012</v>
      </c>
      <c r="B486" t="s">
        <v>383</v>
      </c>
      <c r="D486">
        <v>34817</v>
      </c>
    </row>
    <row r="487" spans="1:4" hidden="1" x14ac:dyDescent="0.2">
      <c r="A487">
        <v>2012</v>
      </c>
      <c r="B487" t="s">
        <v>384</v>
      </c>
      <c r="D487">
        <v>412</v>
      </c>
    </row>
    <row r="488" spans="1:4" hidden="1" x14ac:dyDescent="0.2">
      <c r="A488">
        <v>2012</v>
      </c>
      <c r="B488" t="s">
        <v>446</v>
      </c>
      <c r="D488">
        <v>66</v>
      </c>
    </row>
    <row r="489" spans="1:4" hidden="1" x14ac:dyDescent="0.2">
      <c r="A489">
        <v>2012</v>
      </c>
      <c r="B489" t="s">
        <v>439</v>
      </c>
      <c r="D489">
        <v>1724</v>
      </c>
    </row>
    <row r="490" spans="1:4" hidden="1" x14ac:dyDescent="0.2">
      <c r="A490">
        <v>2012</v>
      </c>
      <c r="B490" t="s">
        <v>386</v>
      </c>
      <c r="D490">
        <v>11516</v>
      </c>
    </row>
    <row r="491" spans="1:4" hidden="1" x14ac:dyDescent="0.2">
      <c r="A491">
        <v>2012</v>
      </c>
      <c r="B491" t="s">
        <v>387</v>
      </c>
      <c r="D491">
        <v>631</v>
      </c>
    </row>
    <row r="492" spans="1:4" hidden="1" x14ac:dyDescent="0.2">
      <c r="A492">
        <v>2012</v>
      </c>
      <c r="B492" t="s">
        <v>388</v>
      </c>
      <c r="D492">
        <v>1914</v>
      </c>
    </row>
    <row r="493" spans="1:4" hidden="1" x14ac:dyDescent="0.2">
      <c r="A493">
        <v>2012</v>
      </c>
      <c r="B493" t="s">
        <v>389</v>
      </c>
      <c r="D493">
        <v>31</v>
      </c>
    </row>
    <row r="494" spans="1:4" hidden="1" x14ac:dyDescent="0.2">
      <c r="A494">
        <v>2012</v>
      </c>
      <c r="B494" t="s">
        <v>390</v>
      </c>
      <c r="D494">
        <v>2475</v>
      </c>
    </row>
    <row r="495" spans="1:4" hidden="1" x14ac:dyDescent="0.2">
      <c r="A495">
        <v>2012</v>
      </c>
      <c r="B495" t="s">
        <v>391</v>
      </c>
      <c r="D495">
        <v>20</v>
      </c>
    </row>
    <row r="496" spans="1:4" hidden="1" x14ac:dyDescent="0.2">
      <c r="A496">
        <v>2012</v>
      </c>
      <c r="B496" t="s">
        <v>392</v>
      </c>
      <c r="D496">
        <v>10</v>
      </c>
    </row>
    <row r="497" spans="1:4" hidden="1" x14ac:dyDescent="0.2">
      <c r="A497">
        <v>2012</v>
      </c>
      <c r="B497" t="s">
        <v>440</v>
      </c>
      <c r="D497">
        <v>50</v>
      </c>
    </row>
    <row r="498" spans="1:4" hidden="1" x14ac:dyDescent="0.2">
      <c r="A498">
        <v>2012</v>
      </c>
      <c r="B498" t="s">
        <v>443</v>
      </c>
      <c r="D498">
        <v>101</v>
      </c>
    </row>
    <row r="499" spans="1:4" hidden="1" x14ac:dyDescent="0.2">
      <c r="A499">
        <v>2012</v>
      </c>
      <c r="B499" t="s">
        <v>393</v>
      </c>
      <c r="D499">
        <v>523</v>
      </c>
    </row>
    <row r="500" spans="1:4" hidden="1" x14ac:dyDescent="0.2">
      <c r="A500">
        <v>2012</v>
      </c>
      <c r="B500" t="s">
        <v>394</v>
      </c>
      <c r="D500">
        <v>2339</v>
      </c>
    </row>
    <row r="501" spans="1:4" hidden="1" x14ac:dyDescent="0.2">
      <c r="A501">
        <v>2012</v>
      </c>
      <c r="B501" t="s">
        <v>395</v>
      </c>
      <c r="D501">
        <v>3831</v>
      </c>
    </row>
    <row r="502" spans="1:4" hidden="1" x14ac:dyDescent="0.2">
      <c r="A502">
        <v>2012</v>
      </c>
      <c r="B502" t="s">
        <v>452</v>
      </c>
      <c r="D502">
        <v>14</v>
      </c>
    </row>
    <row r="503" spans="1:4" hidden="1" x14ac:dyDescent="0.2">
      <c r="A503">
        <v>2012</v>
      </c>
      <c r="B503" t="s">
        <v>441</v>
      </c>
      <c r="D503">
        <v>742</v>
      </c>
    </row>
    <row r="504" spans="1:4" hidden="1" x14ac:dyDescent="0.2">
      <c r="A504">
        <v>2012</v>
      </c>
      <c r="B504" t="s">
        <v>447</v>
      </c>
      <c r="D504">
        <v>6</v>
      </c>
    </row>
    <row r="505" spans="1:4" hidden="1" x14ac:dyDescent="0.2">
      <c r="A505">
        <v>2012</v>
      </c>
      <c r="B505" t="s">
        <v>444</v>
      </c>
      <c r="D505">
        <v>323</v>
      </c>
    </row>
    <row r="506" spans="1:4" hidden="1" x14ac:dyDescent="0.2">
      <c r="A506">
        <v>2012</v>
      </c>
      <c r="B506" t="s">
        <v>396</v>
      </c>
      <c r="D506">
        <v>6</v>
      </c>
    </row>
    <row r="507" spans="1:4" hidden="1" x14ac:dyDescent="0.2">
      <c r="A507">
        <v>2012</v>
      </c>
      <c r="B507" t="s">
        <v>397</v>
      </c>
      <c r="D507">
        <v>89193</v>
      </c>
    </row>
    <row r="508" spans="1:4" hidden="1" x14ac:dyDescent="0.2">
      <c r="A508">
        <v>2012</v>
      </c>
      <c r="B508" t="s">
        <v>451</v>
      </c>
      <c r="D508">
        <v>23</v>
      </c>
    </row>
    <row r="509" spans="1:4" hidden="1" x14ac:dyDescent="0.2">
      <c r="A509">
        <v>2012</v>
      </c>
      <c r="B509" t="s">
        <v>398</v>
      </c>
      <c r="D509">
        <v>43953</v>
      </c>
    </row>
    <row r="510" spans="1:4" hidden="1" x14ac:dyDescent="0.2">
      <c r="A510">
        <v>2012</v>
      </c>
      <c r="B510" t="s">
        <v>453</v>
      </c>
      <c r="D510">
        <v>79</v>
      </c>
    </row>
    <row r="511" spans="1:4" hidden="1" x14ac:dyDescent="0.2">
      <c r="A511">
        <v>2012</v>
      </c>
      <c r="B511" t="s">
        <v>399</v>
      </c>
      <c r="D511">
        <v>9</v>
      </c>
    </row>
    <row r="512" spans="1:4" hidden="1" x14ac:dyDescent="0.2">
      <c r="A512">
        <v>2012</v>
      </c>
      <c r="B512" t="s">
        <v>400</v>
      </c>
      <c r="D512">
        <v>2629</v>
      </c>
    </row>
    <row r="513" spans="1:4" hidden="1" x14ac:dyDescent="0.2">
      <c r="A513">
        <v>2012</v>
      </c>
      <c r="B513" t="s">
        <v>401</v>
      </c>
      <c r="D513">
        <v>168</v>
      </c>
    </row>
    <row r="514" spans="1:4" hidden="1" x14ac:dyDescent="0.2">
      <c r="A514">
        <v>2012</v>
      </c>
      <c r="B514" t="s">
        <v>402</v>
      </c>
      <c r="D514">
        <v>23247</v>
      </c>
    </row>
    <row r="515" spans="1:4" hidden="1" x14ac:dyDescent="0.2">
      <c r="A515">
        <v>2012</v>
      </c>
      <c r="B515" t="s">
        <v>403</v>
      </c>
      <c r="D515">
        <v>329</v>
      </c>
    </row>
    <row r="516" spans="1:4" hidden="1" x14ac:dyDescent="0.2">
      <c r="A516">
        <v>2012</v>
      </c>
      <c r="B516" t="s">
        <v>404</v>
      </c>
      <c r="D516">
        <v>6</v>
      </c>
    </row>
    <row r="517" spans="1:4" hidden="1" x14ac:dyDescent="0.2">
      <c r="A517">
        <v>2012</v>
      </c>
      <c r="B517" t="s">
        <v>405</v>
      </c>
      <c r="D517">
        <v>975</v>
      </c>
    </row>
    <row r="518" spans="1:4" hidden="1" x14ac:dyDescent="0.2">
      <c r="A518">
        <v>2012</v>
      </c>
      <c r="B518" t="s">
        <v>406</v>
      </c>
      <c r="D518">
        <v>130</v>
      </c>
    </row>
    <row r="519" spans="1:4" hidden="1" x14ac:dyDescent="0.2">
      <c r="A519">
        <v>2012</v>
      </c>
      <c r="B519" t="s">
        <v>407</v>
      </c>
      <c r="D519">
        <v>119</v>
      </c>
    </row>
    <row r="520" spans="1:4" hidden="1" x14ac:dyDescent="0.2">
      <c r="A520">
        <v>2012</v>
      </c>
      <c r="B520" t="s">
        <v>408</v>
      </c>
      <c r="D520">
        <v>541</v>
      </c>
    </row>
    <row r="521" spans="1:4" hidden="1" x14ac:dyDescent="0.2">
      <c r="A521">
        <v>2012</v>
      </c>
      <c r="B521" t="s">
        <v>454</v>
      </c>
      <c r="D521">
        <v>5</v>
      </c>
    </row>
    <row r="522" spans="1:4" hidden="1" x14ac:dyDescent="0.2">
      <c r="A522">
        <v>2012</v>
      </c>
      <c r="B522" t="s">
        <v>409</v>
      </c>
      <c r="D522">
        <v>21715</v>
      </c>
    </row>
    <row r="523" spans="1:4" hidden="1" x14ac:dyDescent="0.2">
      <c r="A523">
        <v>2012</v>
      </c>
      <c r="B523" t="s">
        <v>455</v>
      </c>
      <c r="D523">
        <v>33</v>
      </c>
    </row>
    <row r="524" spans="1:4" hidden="1" x14ac:dyDescent="0.2">
      <c r="A524">
        <v>2012</v>
      </c>
      <c r="B524" t="s">
        <v>410</v>
      </c>
      <c r="D524">
        <v>36131</v>
      </c>
    </row>
    <row r="525" spans="1:4" hidden="1" x14ac:dyDescent="0.2">
      <c r="A525">
        <v>2012</v>
      </c>
      <c r="B525" t="s">
        <v>411</v>
      </c>
      <c r="D525">
        <v>8</v>
      </c>
    </row>
    <row r="526" spans="1:4" hidden="1" x14ac:dyDescent="0.2">
      <c r="A526">
        <v>2012</v>
      </c>
      <c r="B526" t="s">
        <v>412</v>
      </c>
      <c r="D526">
        <v>2272</v>
      </c>
    </row>
    <row r="527" spans="1:4" hidden="1" x14ac:dyDescent="0.2">
      <c r="A527">
        <v>2012</v>
      </c>
      <c r="B527" t="s">
        <v>413</v>
      </c>
      <c r="D527">
        <v>5</v>
      </c>
    </row>
    <row r="528" spans="1:4" hidden="1" x14ac:dyDescent="0.2">
      <c r="A528">
        <v>2012</v>
      </c>
      <c r="B528" t="s">
        <v>414</v>
      </c>
      <c r="D528">
        <v>34957</v>
      </c>
    </row>
    <row r="529" spans="1:4" hidden="1" x14ac:dyDescent="0.2">
      <c r="A529">
        <v>2012</v>
      </c>
      <c r="B529" t="s">
        <v>445</v>
      </c>
      <c r="D529">
        <v>39</v>
      </c>
    </row>
    <row r="530" spans="1:4" hidden="1" x14ac:dyDescent="0.2">
      <c r="A530">
        <v>2012</v>
      </c>
      <c r="B530" t="s">
        <v>415</v>
      </c>
      <c r="D530">
        <v>10</v>
      </c>
    </row>
    <row r="531" spans="1:4" hidden="1" x14ac:dyDescent="0.2">
      <c r="A531">
        <v>2012</v>
      </c>
      <c r="B531" t="s">
        <v>416</v>
      </c>
      <c r="D531">
        <v>95</v>
      </c>
    </row>
    <row r="532" spans="1:4" hidden="1" x14ac:dyDescent="0.2">
      <c r="A532">
        <v>2012</v>
      </c>
      <c r="B532" t="s">
        <v>448</v>
      </c>
      <c r="D532">
        <v>31</v>
      </c>
    </row>
    <row r="533" spans="1:4" hidden="1" x14ac:dyDescent="0.2">
      <c r="A533">
        <v>2012</v>
      </c>
      <c r="B533" t="s">
        <v>417</v>
      </c>
      <c r="D533">
        <v>55651</v>
      </c>
    </row>
    <row r="534" spans="1:4" hidden="1" x14ac:dyDescent="0.2">
      <c r="A534">
        <v>2012</v>
      </c>
      <c r="B534" t="s">
        <v>418</v>
      </c>
      <c r="D534">
        <v>1774</v>
      </c>
    </row>
    <row r="535" spans="1:4" hidden="1" x14ac:dyDescent="0.2">
      <c r="A535">
        <v>2012</v>
      </c>
      <c r="B535" t="s">
        <v>419</v>
      </c>
      <c r="D535">
        <v>76</v>
      </c>
    </row>
    <row r="536" spans="1:4" hidden="1" x14ac:dyDescent="0.2">
      <c r="A536">
        <v>2012</v>
      </c>
      <c r="B536" t="s">
        <v>420</v>
      </c>
      <c r="D536">
        <v>7</v>
      </c>
    </row>
    <row r="537" spans="1:4" hidden="1" x14ac:dyDescent="0.2">
      <c r="A537">
        <v>2012</v>
      </c>
      <c r="B537" t="s">
        <v>421</v>
      </c>
      <c r="D537">
        <v>2513</v>
      </c>
    </row>
    <row r="538" spans="1:4" hidden="1" x14ac:dyDescent="0.2">
      <c r="A538">
        <v>2012</v>
      </c>
      <c r="B538" t="s">
        <v>422</v>
      </c>
      <c r="D538">
        <v>3576</v>
      </c>
    </row>
    <row r="539" spans="1:4" hidden="1" x14ac:dyDescent="0.2">
      <c r="A539">
        <v>2012</v>
      </c>
      <c r="B539" t="s">
        <v>423</v>
      </c>
      <c r="D539">
        <v>3243</v>
      </c>
    </row>
    <row r="540" spans="1:4" hidden="1" x14ac:dyDescent="0.2">
      <c r="A540">
        <v>2012</v>
      </c>
      <c r="B540" t="s">
        <v>424</v>
      </c>
      <c r="D540">
        <v>4219</v>
      </c>
    </row>
    <row r="541" spans="1:4" hidden="1" x14ac:dyDescent="0.2">
      <c r="A541">
        <v>2012</v>
      </c>
      <c r="B541" t="s">
        <v>425</v>
      </c>
      <c r="D541">
        <v>2692</v>
      </c>
    </row>
    <row r="542" spans="1:4" hidden="1" x14ac:dyDescent="0.2">
      <c r="A542">
        <v>2012</v>
      </c>
      <c r="B542" t="s">
        <v>426</v>
      </c>
      <c r="D542">
        <v>245</v>
      </c>
    </row>
    <row r="543" spans="1:4" hidden="1" x14ac:dyDescent="0.2">
      <c r="A543">
        <v>2012</v>
      </c>
      <c r="B543" t="s">
        <v>427</v>
      </c>
      <c r="D543">
        <v>26</v>
      </c>
    </row>
    <row r="544" spans="1:4" hidden="1" x14ac:dyDescent="0.2">
      <c r="A544">
        <v>2012</v>
      </c>
      <c r="B544" t="s">
        <v>428</v>
      </c>
      <c r="D544">
        <v>1137</v>
      </c>
    </row>
    <row r="545" spans="1:4" hidden="1" x14ac:dyDescent="0.2">
      <c r="A545">
        <v>2012</v>
      </c>
      <c r="B545" t="s">
        <v>430</v>
      </c>
      <c r="D545">
        <v>525</v>
      </c>
    </row>
    <row r="546" spans="1:4" hidden="1" x14ac:dyDescent="0.2">
      <c r="A546">
        <v>2012</v>
      </c>
      <c r="B546" t="s">
        <v>431</v>
      </c>
      <c r="D546">
        <v>375</v>
      </c>
    </row>
    <row r="547" spans="1:4" hidden="1" x14ac:dyDescent="0.2">
      <c r="A547">
        <v>2012</v>
      </c>
      <c r="B547" t="s">
        <v>432</v>
      </c>
      <c r="D547">
        <v>13771</v>
      </c>
    </row>
    <row r="548" spans="1:4" hidden="1" x14ac:dyDescent="0.2">
      <c r="A548">
        <v>2012</v>
      </c>
      <c r="B548" t="s">
        <v>433</v>
      </c>
      <c r="D548">
        <v>6</v>
      </c>
    </row>
    <row r="549" spans="1:4" hidden="1" x14ac:dyDescent="0.2">
      <c r="A549">
        <v>2012</v>
      </c>
      <c r="B549" t="s">
        <v>434</v>
      </c>
      <c r="D549">
        <v>14754</v>
      </c>
    </row>
    <row r="550" spans="1:4" hidden="1" x14ac:dyDescent="0.2">
      <c r="A550">
        <v>2012</v>
      </c>
      <c r="B550" t="s">
        <v>442</v>
      </c>
      <c r="D550">
        <v>7</v>
      </c>
    </row>
    <row r="551" spans="1:4" hidden="1" x14ac:dyDescent="0.2">
      <c r="A551">
        <v>2012</v>
      </c>
      <c r="B551" t="s">
        <v>435</v>
      </c>
      <c r="D551">
        <v>159889</v>
      </c>
    </row>
    <row r="552" spans="1:4" hidden="1" x14ac:dyDescent="0.2">
      <c r="A552">
        <v>2012</v>
      </c>
      <c r="B552" t="s">
        <v>436</v>
      </c>
      <c r="D552">
        <v>31</v>
      </c>
    </row>
    <row r="553" spans="1:4" hidden="1" x14ac:dyDescent="0.2">
      <c r="A553">
        <v>2012</v>
      </c>
      <c r="B553" t="s">
        <v>437</v>
      </c>
      <c r="D553">
        <v>16698</v>
      </c>
    </row>
    <row r="554" spans="1:4" hidden="1" x14ac:dyDescent="0.2">
      <c r="A554">
        <v>2012</v>
      </c>
      <c r="B554" t="s">
        <v>438</v>
      </c>
      <c r="D554">
        <v>7959</v>
      </c>
    </row>
    <row r="555" spans="1:4" hidden="1" x14ac:dyDescent="0.2">
      <c r="A555">
        <v>2012</v>
      </c>
      <c r="B555" t="s">
        <v>449</v>
      </c>
      <c r="D555">
        <v>58</v>
      </c>
    </row>
    <row r="556" spans="1:4" hidden="1" x14ac:dyDescent="0.2">
      <c r="A556">
        <v>2012</v>
      </c>
      <c r="B556" t="s">
        <v>450</v>
      </c>
      <c r="D556">
        <v>50</v>
      </c>
    </row>
    <row r="557" spans="1:4" hidden="1" x14ac:dyDescent="0.2">
      <c r="A557">
        <v>2013</v>
      </c>
      <c r="B557" t="s">
        <v>379</v>
      </c>
      <c r="D557">
        <v>880</v>
      </c>
    </row>
    <row r="558" spans="1:4" hidden="1" x14ac:dyDescent="0.2">
      <c r="A558">
        <v>2013</v>
      </c>
      <c r="B558" t="s">
        <v>380</v>
      </c>
      <c r="D558">
        <v>196</v>
      </c>
    </row>
    <row r="559" spans="1:4" hidden="1" x14ac:dyDescent="0.2">
      <c r="A559">
        <v>2013</v>
      </c>
      <c r="B559" t="s">
        <v>381</v>
      </c>
      <c r="D559">
        <v>12882</v>
      </c>
    </row>
    <row r="560" spans="1:4" hidden="1" x14ac:dyDescent="0.2">
      <c r="A560">
        <v>2013</v>
      </c>
      <c r="B560" t="s">
        <v>382</v>
      </c>
      <c r="D560">
        <v>147</v>
      </c>
    </row>
    <row r="561" spans="1:4" hidden="1" x14ac:dyDescent="0.2">
      <c r="A561">
        <v>2013</v>
      </c>
      <c r="B561" t="s">
        <v>383</v>
      </c>
      <c r="D561">
        <v>37691</v>
      </c>
    </row>
    <row r="562" spans="1:4" hidden="1" x14ac:dyDescent="0.2">
      <c r="A562">
        <v>2013</v>
      </c>
      <c r="B562" t="s">
        <v>384</v>
      </c>
      <c r="D562">
        <v>524</v>
      </c>
    </row>
    <row r="563" spans="1:4" hidden="1" x14ac:dyDescent="0.2">
      <c r="A563">
        <v>2013</v>
      </c>
      <c r="B563" t="s">
        <v>446</v>
      </c>
      <c r="D563">
        <v>65</v>
      </c>
    </row>
    <row r="564" spans="1:4" hidden="1" x14ac:dyDescent="0.2">
      <c r="A564">
        <v>2013</v>
      </c>
      <c r="B564" t="s">
        <v>439</v>
      </c>
      <c r="D564">
        <v>1660</v>
      </c>
    </row>
    <row r="565" spans="1:4" hidden="1" x14ac:dyDescent="0.2">
      <c r="A565">
        <v>2013</v>
      </c>
      <c r="B565" t="s">
        <v>386</v>
      </c>
      <c r="D565">
        <v>11581</v>
      </c>
    </row>
    <row r="566" spans="1:4" hidden="1" x14ac:dyDescent="0.2">
      <c r="A566">
        <v>2013</v>
      </c>
      <c r="B566" t="s">
        <v>387</v>
      </c>
      <c r="D566">
        <v>588</v>
      </c>
    </row>
    <row r="567" spans="1:4" hidden="1" x14ac:dyDescent="0.2">
      <c r="A567">
        <v>2013</v>
      </c>
      <c r="B567" t="s">
        <v>388</v>
      </c>
      <c r="D567">
        <v>2064</v>
      </c>
    </row>
    <row r="568" spans="1:4" hidden="1" x14ac:dyDescent="0.2">
      <c r="A568">
        <v>2013</v>
      </c>
      <c r="B568" t="s">
        <v>390</v>
      </c>
      <c r="D568">
        <v>2441</v>
      </c>
    </row>
    <row r="569" spans="1:4" hidden="1" x14ac:dyDescent="0.2">
      <c r="A569">
        <v>2013</v>
      </c>
      <c r="B569" t="s">
        <v>391</v>
      </c>
      <c r="D569">
        <v>20</v>
      </c>
    </row>
    <row r="570" spans="1:4" hidden="1" x14ac:dyDescent="0.2">
      <c r="A570">
        <v>2013</v>
      </c>
      <c r="B570" t="s">
        <v>392</v>
      </c>
      <c r="D570">
        <v>10</v>
      </c>
    </row>
    <row r="571" spans="1:4" hidden="1" x14ac:dyDescent="0.2">
      <c r="A571">
        <v>2013</v>
      </c>
      <c r="B571" t="s">
        <v>440</v>
      </c>
      <c r="D571">
        <v>50</v>
      </c>
    </row>
    <row r="572" spans="1:4" hidden="1" x14ac:dyDescent="0.2">
      <c r="A572">
        <v>2013</v>
      </c>
      <c r="B572" t="s">
        <v>443</v>
      </c>
      <c r="D572">
        <v>100</v>
      </c>
    </row>
    <row r="573" spans="1:4" hidden="1" x14ac:dyDescent="0.2">
      <c r="A573">
        <v>2013</v>
      </c>
      <c r="B573" t="s">
        <v>393</v>
      </c>
      <c r="D573">
        <v>582</v>
      </c>
    </row>
    <row r="574" spans="1:4" hidden="1" x14ac:dyDescent="0.2">
      <c r="A574">
        <v>2013</v>
      </c>
      <c r="B574" t="s">
        <v>394</v>
      </c>
      <c r="D574">
        <v>2302</v>
      </c>
    </row>
    <row r="575" spans="1:4" hidden="1" x14ac:dyDescent="0.2">
      <c r="A575">
        <v>2013</v>
      </c>
      <c r="B575" t="s">
        <v>395</v>
      </c>
      <c r="D575">
        <v>3802</v>
      </c>
    </row>
    <row r="576" spans="1:4" hidden="1" x14ac:dyDescent="0.2">
      <c r="A576">
        <v>2013</v>
      </c>
      <c r="B576" t="s">
        <v>452</v>
      </c>
      <c r="D576">
        <v>14</v>
      </c>
    </row>
    <row r="577" spans="1:4" hidden="1" x14ac:dyDescent="0.2">
      <c r="A577">
        <v>2013</v>
      </c>
      <c r="B577" t="s">
        <v>441</v>
      </c>
      <c r="D577">
        <v>723</v>
      </c>
    </row>
    <row r="578" spans="1:4" hidden="1" x14ac:dyDescent="0.2">
      <c r="A578">
        <v>2013</v>
      </c>
      <c r="B578" t="s">
        <v>447</v>
      </c>
      <c r="D578">
        <v>6</v>
      </c>
    </row>
    <row r="579" spans="1:4" hidden="1" x14ac:dyDescent="0.2">
      <c r="A579">
        <v>2013</v>
      </c>
      <c r="B579" t="s">
        <v>444</v>
      </c>
      <c r="D579">
        <v>317</v>
      </c>
    </row>
    <row r="580" spans="1:4" hidden="1" x14ac:dyDescent="0.2">
      <c r="A580">
        <v>2013</v>
      </c>
      <c r="B580" t="s">
        <v>396</v>
      </c>
      <c r="D580">
        <v>5</v>
      </c>
    </row>
    <row r="581" spans="1:4" hidden="1" x14ac:dyDescent="0.2">
      <c r="A581">
        <v>2013</v>
      </c>
      <c r="B581" t="s">
        <v>397</v>
      </c>
      <c r="D581">
        <v>87747</v>
      </c>
    </row>
    <row r="582" spans="1:4" hidden="1" x14ac:dyDescent="0.2">
      <c r="A582">
        <v>2013</v>
      </c>
      <c r="B582" t="s">
        <v>451</v>
      </c>
      <c r="D582">
        <v>23</v>
      </c>
    </row>
    <row r="583" spans="1:4" hidden="1" x14ac:dyDescent="0.2">
      <c r="A583">
        <v>2013</v>
      </c>
      <c r="B583" t="s">
        <v>398</v>
      </c>
      <c r="D583">
        <v>42643</v>
      </c>
    </row>
    <row r="584" spans="1:4" hidden="1" x14ac:dyDescent="0.2">
      <c r="A584">
        <v>2013</v>
      </c>
      <c r="B584" t="s">
        <v>453</v>
      </c>
      <c r="D584">
        <v>112</v>
      </c>
    </row>
    <row r="585" spans="1:4" hidden="1" x14ac:dyDescent="0.2">
      <c r="A585">
        <v>2013</v>
      </c>
      <c r="B585" t="s">
        <v>399</v>
      </c>
      <c r="D585">
        <v>7</v>
      </c>
    </row>
    <row r="586" spans="1:4" hidden="1" x14ac:dyDescent="0.2">
      <c r="A586">
        <v>2013</v>
      </c>
      <c r="B586" t="s">
        <v>400</v>
      </c>
      <c r="D586">
        <v>2977</v>
      </c>
    </row>
    <row r="587" spans="1:4" hidden="1" x14ac:dyDescent="0.2">
      <c r="A587">
        <v>2013</v>
      </c>
      <c r="B587" t="s">
        <v>401</v>
      </c>
      <c r="D587">
        <v>180</v>
      </c>
    </row>
    <row r="588" spans="1:4" hidden="1" x14ac:dyDescent="0.2">
      <c r="A588">
        <v>2013</v>
      </c>
      <c r="B588" t="s">
        <v>402</v>
      </c>
      <c r="D588">
        <v>23080</v>
      </c>
    </row>
    <row r="589" spans="1:4" hidden="1" x14ac:dyDescent="0.2">
      <c r="A589">
        <v>2013</v>
      </c>
      <c r="B589" t="s">
        <v>403</v>
      </c>
      <c r="D589">
        <v>334</v>
      </c>
    </row>
    <row r="590" spans="1:4" hidden="1" x14ac:dyDescent="0.2">
      <c r="A590">
        <v>2013</v>
      </c>
      <c r="B590" t="s">
        <v>404</v>
      </c>
      <c r="D590">
        <v>6</v>
      </c>
    </row>
    <row r="591" spans="1:4" hidden="1" x14ac:dyDescent="0.2">
      <c r="A591">
        <v>2013</v>
      </c>
      <c r="B591" t="s">
        <v>405</v>
      </c>
      <c r="D591">
        <v>1330</v>
      </c>
    </row>
    <row r="592" spans="1:4" hidden="1" x14ac:dyDescent="0.2">
      <c r="A592">
        <v>2013</v>
      </c>
      <c r="B592" t="s">
        <v>406</v>
      </c>
      <c r="D592">
        <v>129</v>
      </c>
    </row>
    <row r="593" spans="1:4" hidden="1" x14ac:dyDescent="0.2">
      <c r="A593">
        <v>2013</v>
      </c>
      <c r="B593" t="s">
        <v>407</v>
      </c>
      <c r="D593">
        <v>119</v>
      </c>
    </row>
    <row r="594" spans="1:4" hidden="1" x14ac:dyDescent="0.2">
      <c r="A594">
        <v>2013</v>
      </c>
      <c r="B594" t="s">
        <v>408</v>
      </c>
      <c r="D594">
        <v>584</v>
      </c>
    </row>
    <row r="595" spans="1:4" hidden="1" x14ac:dyDescent="0.2">
      <c r="A595">
        <v>2013</v>
      </c>
      <c r="B595" t="s">
        <v>409</v>
      </c>
      <c r="D595">
        <v>21542</v>
      </c>
    </row>
    <row r="596" spans="1:4" hidden="1" x14ac:dyDescent="0.2">
      <c r="A596">
        <v>2013</v>
      </c>
      <c r="B596" t="s">
        <v>455</v>
      </c>
      <c r="D596">
        <v>58</v>
      </c>
    </row>
    <row r="597" spans="1:4" hidden="1" x14ac:dyDescent="0.2">
      <c r="A597">
        <v>2013</v>
      </c>
      <c r="B597" t="s">
        <v>410</v>
      </c>
      <c r="D597">
        <v>38554</v>
      </c>
    </row>
    <row r="598" spans="1:4" hidden="1" x14ac:dyDescent="0.2">
      <c r="A598">
        <v>2013</v>
      </c>
      <c r="B598" t="s">
        <v>411</v>
      </c>
      <c r="D598">
        <v>7</v>
      </c>
    </row>
    <row r="599" spans="1:4" hidden="1" x14ac:dyDescent="0.2">
      <c r="A599">
        <v>2013</v>
      </c>
      <c r="B599" t="s">
        <v>412</v>
      </c>
      <c r="D599">
        <v>2400</v>
      </c>
    </row>
    <row r="600" spans="1:4" hidden="1" x14ac:dyDescent="0.2">
      <c r="A600">
        <v>2013</v>
      </c>
      <c r="B600" t="s">
        <v>413</v>
      </c>
      <c r="D600">
        <v>5</v>
      </c>
    </row>
    <row r="601" spans="1:4" hidden="1" x14ac:dyDescent="0.2">
      <c r="A601">
        <v>2013</v>
      </c>
      <c r="B601" t="s">
        <v>414</v>
      </c>
      <c r="D601">
        <v>34117</v>
      </c>
    </row>
    <row r="602" spans="1:4" hidden="1" x14ac:dyDescent="0.2">
      <c r="A602">
        <v>2013</v>
      </c>
      <c r="B602" t="s">
        <v>445</v>
      </c>
      <c r="D602">
        <v>39</v>
      </c>
    </row>
    <row r="603" spans="1:4" hidden="1" x14ac:dyDescent="0.2">
      <c r="A603">
        <v>2013</v>
      </c>
      <c r="B603" t="s">
        <v>415</v>
      </c>
      <c r="D603">
        <v>10</v>
      </c>
    </row>
    <row r="604" spans="1:4" hidden="1" x14ac:dyDescent="0.2">
      <c r="A604">
        <v>2013</v>
      </c>
      <c r="B604" t="s">
        <v>416</v>
      </c>
      <c r="D604">
        <v>95</v>
      </c>
    </row>
    <row r="605" spans="1:4" hidden="1" x14ac:dyDescent="0.2">
      <c r="A605">
        <v>2013</v>
      </c>
      <c r="B605" t="s">
        <v>448</v>
      </c>
      <c r="D605">
        <v>31</v>
      </c>
    </row>
    <row r="606" spans="1:4" hidden="1" x14ac:dyDescent="0.2">
      <c r="A606">
        <v>2013</v>
      </c>
      <c r="B606" t="s">
        <v>417</v>
      </c>
      <c r="D606">
        <v>54360</v>
      </c>
    </row>
    <row r="607" spans="1:4" hidden="1" x14ac:dyDescent="0.2">
      <c r="A607">
        <v>2013</v>
      </c>
      <c r="B607" t="s">
        <v>418</v>
      </c>
      <c r="D607">
        <v>1791</v>
      </c>
    </row>
    <row r="608" spans="1:4" hidden="1" x14ac:dyDescent="0.2">
      <c r="A608">
        <v>2013</v>
      </c>
      <c r="B608" t="s">
        <v>419</v>
      </c>
      <c r="D608">
        <v>82</v>
      </c>
    </row>
    <row r="609" spans="1:4" hidden="1" x14ac:dyDescent="0.2">
      <c r="A609">
        <v>2013</v>
      </c>
      <c r="B609" t="s">
        <v>420</v>
      </c>
      <c r="D609">
        <v>7</v>
      </c>
    </row>
    <row r="610" spans="1:4" hidden="1" x14ac:dyDescent="0.2">
      <c r="A610">
        <v>2013</v>
      </c>
      <c r="B610" t="s">
        <v>421</v>
      </c>
      <c r="D610">
        <v>2484</v>
      </c>
    </row>
    <row r="611" spans="1:4" hidden="1" x14ac:dyDescent="0.2">
      <c r="A611">
        <v>2013</v>
      </c>
      <c r="B611" t="s">
        <v>422</v>
      </c>
      <c r="D611">
        <v>3769</v>
      </c>
    </row>
    <row r="612" spans="1:4" hidden="1" x14ac:dyDescent="0.2">
      <c r="A612">
        <v>2013</v>
      </c>
      <c r="B612" t="s">
        <v>423</v>
      </c>
      <c r="D612">
        <v>3539</v>
      </c>
    </row>
    <row r="613" spans="1:4" hidden="1" x14ac:dyDescent="0.2">
      <c r="A613">
        <v>2013</v>
      </c>
      <c r="B613" t="s">
        <v>424</v>
      </c>
      <c r="D613">
        <v>4070</v>
      </c>
    </row>
    <row r="614" spans="1:4" hidden="1" x14ac:dyDescent="0.2">
      <c r="A614">
        <v>2013</v>
      </c>
      <c r="B614" t="s">
        <v>425</v>
      </c>
      <c r="D614">
        <v>2656</v>
      </c>
    </row>
    <row r="615" spans="1:4" hidden="1" x14ac:dyDescent="0.2">
      <c r="A615">
        <v>2013</v>
      </c>
      <c r="B615" t="s">
        <v>426</v>
      </c>
      <c r="D615">
        <v>299</v>
      </c>
    </row>
    <row r="616" spans="1:4" hidden="1" x14ac:dyDescent="0.2">
      <c r="A616">
        <v>2013</v>
      </c>
      <c r="B616" t="s">
        <v>427</v>
      </c>
      <c r="D616">
        <v>22</v>
      </c>
    </row>
    <row r="617" spans="1:4" hidden="1" x14ac:dyDescent="0.2">
      <c r="A617">
        <v>2013</v>
      </c>
      <c r="B617" t="s">
        <v>428</v>
      </c>
      <c r="D617">
        <v>1053</v>
      </c>
    </row>
    <row r="618" spans="1:4" hidden="1" x14ac:dyDescent="0.2">
      <c r="A618">
        <v>2013</v>
      </c>
      <c r="B618" t="s">
        <v>430</v>
      </c>
      <c r="D618">
        <v>519</v>
      </c>
    </row>
    <row r="619" spans="1:4" hidden="1" x14ac:dyDescent="0.2">
      <c r="A619">
        <v>2013</v>
      </c>
      <c r="B619" t="s">
        <v>431</v>
      </c>
      <c r="D619">
        <v>376</v>
      </c>
    </row>
    <row r="620" spans="1:4" hidden="1" x14ac:dyDescent="0.2">
      <c r="A620">
        <v>2013</v>
      </c>
      <c r="B620" t="s">
        <v>432</v>
      </c>
      <c r="D620">
        <v>13609</v>
      </c>
    </row>
    <row r="621" spans="1:4" hidden="1" x14ac:dyDescent="0.2">
      <c r="A621">
        <v>2013</v>
      </c>
      <c r="B621" t="s">
        <v>433</v>
      </c>
      <c r="D621">
        <v>6</v>
      </c>
    </row>
    <row r="622" spans="1:4" hidden="1" x14ac:dyDescent="0.2">
      <c r="A622">
        <v>2013</v>
      </c>
      <c r="B622" t="s">
        <v>434</v>
      </c>
      <c r="D622">
        <v>14566</v>
      </c>
    </row>
    <row r="623" spans="1:4" hidden="1" x14ac:dyDescent="0.2">
      <c r="A623">
        <v>2013</v>
      </c>
      <c r="B623" t="s">
        <v>442</v>
      </c>
      <c r="D623">
        <v>7</v>
      </c>
    </row>
    <row r="624" spans="1:4" hidden="1" x14ac:dyDescent="0.2">
      <c r="A624">
        <v>2013</v>
      </c>
      <c r="B624" t="s">
        <v>435</v>
      </c>
      <c r="D624">
        <v>157589</v>
      </c>
    </row>
    <row r="625" spans="1:4" hidden="1" x14ac:dyDescent="0.2">
      <c r="A625">
        <v>2013</v>
      </c>
      <c r="B625" t="s">
        <v>436</v>
      </c>
      <c r="D625">
        <v>32</v>
      </c>
    </row>
    <row r="626" spans="1:4" hidden="1" x14ac:dyDescent="0.2">
      <c r="A626">
        <v>2013</v>
      </c>
      <c r="B626" t="s">
        <v>437</v>
      </c>
      <c r="D626">
        <v>19466</v>
      </c>
    </row>
    <row r="627" spans="1:4" hidden="1" x14ac:dyDescent="0.2">
      <c r="A627">
        <v>2013</v>
      </c>
      <c r="B627" t="s">
        <v>438</v>
      </c>
      <c r="D627">
        <v>8499</v>
      </c>
    </row>
    <row r="628" spans="1:4" hidden="1" x14ac:dyDescent="0.2">
      <c r="A628">
        <v>2013</v>
      </c>
      <c r="B628" t="s">
        <v>449</v>
      </c>
      <c r="D628">
        <v>58</v>
      </c>
    </row>
    <row r="629" spans="1:4" hidden="1" x14ac:dyDescent="0.2">
      <c r="A629">
        <v>2013</v>
      </c>
      <c r="B629" t="s">
        <v>450</v>
      </c>
      <c r="D629">
        <v>50</v>
      </c>
    </row>
    <row r="630" spans="1:4" hidden="1" x14ac:dyDescent="0.2">
      <c r="A630">
        <v>2014</v>
      </c>
      <c r="B630" t="s">
        <v>379</v>
      </c>
      <c r="D630">
        <v>853</v>
      </c>
    </row>
    <row r="631" spans="1:4" hidden="1" x14ac:dyDescent="0.2">
      <c r="A631">
        <v>2014</v>
      </c>
      <c r="B631" t="s">
        <v>456</v>
      </c>
      <c r="D631">
        <v>10</v>
      </c>
    </row>
    <row r="632" spans="1:4" hidden="1" x14ac:dyDescent="0.2">
      <c r="A632">
        <v>2014</v>
      </c>
      <c r="B632" t="s">
        <v>380</v>
      </c>
      <c r="D632">
        <v>195</v>
      </c>
    </row>
    <row r="633" spans="1:4" hidden="1" x14ac:dyDescent="0.2">
      <c r="A633">
        <v>2014</v>
      </c>
      <c r="B633" t="s">
        <v>381</v>
      </c>
      <c r="D633">
        <v>14204</v>
      </c>
    </row>
    <row r="634" spans="1:4" hidden="1" x14ac:dyDescent="0.2">
      <c r="A634">
        <v>2014</v>
      </c>
      <c r="B634" t="s">
        <v>382</v>
      </c>
      <c r="D634">
        <v>148</v>
      </c>
    </row>
    <row r="635" spans="1:4" hidden="1" x14ac:dyDescent="0.2">
      <c r="A635">
        <v>2014</v>
      </c>
      <c r="B635" t="s">
        <v>383</v>
      </c>
      <c r="D635">
        <v>39518</v>
      </c>
    </row>
    <row r="636" spans="1:4" hidden="1" x14ac:dyDescent="0.2">
      <c r="A636">
        <v>2014</v>
      </c>
      <c r="B636" t="s">
        <v>384</v>
      </c>
      <c r="D636">
        <v>578</v>
      </c>
    </row>
    <row r="637" spans="1:4" hidden="1" x14ac:dyDescent="0.2">
      <c r="A637">
        <v>2014</v>
      </c>
      <c r="B637" t="s">
        <v>446</v>
      </c>
      <c r="D637">
        <v>65</v>
      </c>
    </row>
    <row r="638" spans="1:4" hidden="1" x14ac:dyDescent="0.2">
      <c r="A638">
        <v>2014</v>
      </c>
      <c r="B638" t="s">
        <v>439</v>
      </c>
      <c r="D638">
        <v>1615</v>
      </c>
    </row>
    <row r="639" spans="1:4" hidden="1" x14ac:dyDescent="0.2">
      <c r="A639">
        <v>2014</v>
      </c>
      <c r="B639" t="s">
        <v>386</v>
      </c>
      <c r="D639">
        <v>11337</v>
      </c>
    </row>
    <row r="640" spans="1:4" hidden="1" x14ac:dyDescent="0.2">
      <c r="A640">
        <v>2014</v>
      </c>
      <c r="B640" t="s">
        <v>387</v>
      </c>
      <c r="D640">
        <v>556</v>
      </c>
    </row>
    <row r="641" spans="1:4" hidden="1" x14ac:dyDescent="0.2">
      <c r="A641">
        <v>2014</v>
      </c>
      <c r="B641" t="s">
        <v>388</v>
      </c>
      <c r="D641">
        <v>2314</v>
      </c>
    </row>
    <row r="642" spans="1:4" hidden="1" x14ac:dyDescent="0.2">
      <c r="A642">
        <v>2014</v>
      </c>
      <c r="B642" t="s">
        <v>390</v>
      </c>
      <c r="D642">
        <v>2402</v>
      </c>
    </row>
    <row r="643" spans="1:4" hidden="1" x14ac:dyDescent="0.2">
      <c r="A643">
        <v>2014</v>
      </c>
      <c r="B643" t="s">
        <v>391</v>
      </c>
      <c r="D643">
        <v>20</v>
      </c>
    </row>
    <row r="644" spans="1:4" hidden="1" x14ac:dyDescent="0.2">
      <c r="A644">
        <v>2014</v>
      </c>
      <c r="B644" t="s">
        <v>392</v>
      </c>
      <c r="D644">
        <v>8</v>
      </c>
    </row>
    <row r="645" spans="1:4" hidden="1" x14ac:dyDescent="0.2">
      <c r="A645">
        <v>2014</v>
      </c>
      <c r="B645" t="s">
        <v>440</v>
      </c>
      <c r="D645">
        <v>50</v>
      </c>
    </row>
    <row r="646" spans="1:4" hidden="1" x14ac:dyDescent="0.2">
      <c r="A646">
        <v>2014</v>
      </c>
      <c r="B646" t="s">
        <v>443</v>
      </c>
      <c r="D646">
        <v>97</v>
      </c>
    </row>
    <row r="647" spans="1:4" hidden="1" x14ac:dyDescent="0.2">
      <c r="A647">
        <v>2014</v>
      </c>
      <c r="B647" t="s">
        <v>393</v>
      </c>
      <c r="D647">
        <v>599</v>
      </c>
    </row>
    <row r="648" spans="1:4" hidden="1" x14ac:dyDescent="0.2">
      <c r="A648">
        <v>2014</v>
      </c>
      <c r="B648" t="s">
        <v>394</v>
      </c>
      <c r="D648">
        <v>2253</v>
      </c>
    </row>
    <row r="649" spans="1:4" hidden="1" x14ac:dyDescent="0.2">
      <c r="A649">
        <v>2014</v>
      </c>
      <c r="B649" t="s">
        <v>395</v>
      </c>
      <c r="D649">
        <v>3719</v>
      </c>
    </row>
    <row r="650" spans="1:4" hidden="1" x14ac:dyDescent="0.2">
      <c r="A650">
        <v>2014</v>
      </c>
      <c r="B650" t="s">
        <v>452</v>
      </c>
      <c r="D650">
        <v>14</v>
      </c>
    </row>
    <row r="651" spans="1:4" hidden="1" x14ac:dyDescent="0.2">
      <c r="A651">
        <v>2014</v>
      </c>
      <c r="B651" t="s">
        <v>441</v>
      </c>
      <c r="D651">
        <v>698</v>
      </c>
    </row>
    <row r="652" spans="1:4" hidden="1" x14ac:dyDescent="0.2">
      <c r="A652">
        <v>2014</v>
      </c>
      <c r="B652" t="s">
        <v>447</v>
      </c>
      <c r="D652">
        <v>6</v>
      </c>
    </row>
    <row r="653" spans="1:4" hidden="1" x14ac:dyDescent="0.2">
      <c r="A653">
        <v>2014</v>
      </c>
      <c r="B653" t="s">
        <v>444</v>
      </c>
      <c r="D653">
        <v>308</v>
      </c>
    </row>
    <row r="654" spans="1:4" hidden="1" x14ac:dyDescent="0.2">
      <c r="A654">
        <v>2014</v>
      </c>
      <c r="B654" t="s">
        <v>396</v>
      </c>
      <c r="D654">
        <v>6</v>
      </c>
    </row>
    <row r="655" spans="1:4" hidden="1" x14ac:dyDescent="0.2">
      <c r="A655">
        <v>2014</v>
      </c>
      <c r="B655" t="s">
        <v>397</v>
      </c>
      <c r="D655">
        <v>85636</v>
      </c>
    </row>
    <row r="656" spans="1:4" hidden="1" x14ac:dyDescent="0.2">
      <c r="A656">
        <v>2014</v>
      </c>
      <c r="B656" t="s">
        <v>451</v>
      </c>
      <c r="D656">
        <v>23</v>
      </c>
    </row>
    <row r="657" spans="1:4" hidden="1" x14ac:dyDescent="0.2">
      <c r="A657">
        <v>2014</v>
      </c>
      <c r="B657" t="s">
        <v>398</v>
      </c>
      <c r="D657">
        <v>39626</v>
      </c>
    </row>
    <row r="658" spans="1:4" hidden="1" x14ac:dyDescent="0.2">
      <c r="A658">
        <v>2014</v>
      </c>
      <c r="B658" t="s">
        <v>453</v>
      </c>
      <c r="D658">
        <v>202</v>
      </c>
    </row>
    <row r="659" spans="1:4" hidden="1" x14ac:dyDescent="0.2">
      <c r="A659">
        <v>2014</v>
      </c>
      <c r="B659" t="s">
        <v>400</v>
      </c>
      <c r="D659">
        <v>3095</v>
      </c>
    </row>
    <row r="660" spans="1:4" hidden="1" x14ac:dyDescent="0.2">
      <c r="A660">
        <v>2014</v>
      </c>
      <c r="B660" t="s">
        <v>401</v>
      </c>
      <c r="D660">
        <v>195</v>
      </c>
    </row>
    <row r="661" spans="1:4" hidden="1" x14ac:dyDescent="0.2">
      <c r="A661">
        <v>2014</v>
      </c>
      <c r="B661" t="s">
        <v>402</v>
      </c>
      <c r="D661">
        <v>22749</v>
      </c>
    </row>
    <row r="662" spans="1:4" hidden="1" x14ac:dyDescent="0.2">
      <c r="A662">
        <v>2014</v>
      </c>
      <c r="B662" t="s">
        <v>403</v>
      </c>
      <c r="D662">
        <v>315</v>
      </c>
    </row>
    <row r="663" spans="1:4" hidden="1" x14ac:dyDescent="0.2">
      <c r="A663">
        <v>2014</v>
      </c>
      <c r="B663" t="s">
        <v>404</v>
      </c>
      <c r="D663">
        <v>6</v>
      </c>
    </row>
    <row r="664" spans="1:4" hidden="1" x14ac:dyDescent="0.2">
      <c r="A664">
        <v>2014</v>
      </c>
      <c r="B664" t="s">
        <v>405</v>
      </c>
      <c r="D664">
        <v>1610</v>
      </c>
    </row>
    <row r="665" spans="1:4" hidden="1" x14ac:dyDescent="0.2">
      <c r="A665">
        <v>2014</v>
      </c>
      <c r="B665" t="s">
        <v>406</v>
      </c>
      <c r="D665">
        <v>127</v>
      </c>
    </row>
    <row r="666" spans="1:4" hidden="1" x14ac:dyDescent="0.2">
      <c r="A666">
        <v>2014</v>
      </c>
      <c r="B666" t="s">
        <v>407</v>
      </c>
      <c r="D666">
        <v>119</v>
      </c>
    </row>
    <row r="667" spans="1:4" hidden="1" x14ac:dyDescent="0.2">
      <c r="A667">
        <v>2014</v>
      </c>
      <c r="B667" t="s">
        <v>408</v>
      </c>
      <c r="D667">
        <v>609</v>
      </c>
    </row>
    <row r="668" spans="1:4" hidden="1" x14ac:dyDescent="0.2">
      <c r="A668">
        <v>2014</v>
      </c>
      <c r="B668" t="s">
        <v>409</v>
      </c>
      <c r="D668">
        <v>21949</v>
      </c>
    </row>
    <row r="669" spans="1:4" hidden="1" x14ac:dyDescent="0.2">
      <c r="A669">
        <v>2014</v>
      </c>
      <c r="B669" t="s">
        <v>455</v>
      </c>
      <c r="D669">
        <v>68</v>
      </c>
    </row>
    <row r="670" spans="1:4" hidden="1" x14ac:dyDescent="0.2">
      <c r="A670">
        <v>2014</v>
      </c>
      <c r="B670" t="s">
        <v>410</v>
      </c>
      <c r="D670">
        <v>41525</v>
      </c>
    </row>
    <row r="671" spans="1:4" hidden="1" x14ac:dyDescent="0.2">
      <c r="A671">
        <v>2014</v>
      </c>
      <c r="B671" t="s">
        <v>411</v>
      </c>
      <c r="D671">
        <v>6</v>
      </c>
    </row>
    <row r="672" spans="1:4" hidden="1" x14ac:dyDescent="0.2">
      <c r="A672">
        <v>2014</v>
      </c>
      <c r="B672" t="s">
        <v>412</v>
      </c>
      <c r="D672">
        <v>2502</v>
      </c>
    </row>
    <row r="673" spans="1:4" hidden="1" x14ac:dyDescent="0.2">
      <c r="A673">
        <v>2014</v>
      </c>
      <c r="B673" t="s">
        <v>413</v>
      </c>
      <c r="D673">
        <v>5</v>
      </c>
    </row>
    <row r="674" spans="1:4" hidden="1" x14ac:dyDescent="0.2">
      <c r="A674">
        <v>2014</v>
      </c>
      <c r="B674" t="s">
        <v>414</v>
      </c>
      <c r="D674">
        <v>32440</v>
      </c>
    </row>
    <row r="675" spans="1:4" hidden="1" x14ac:dyDescent="0.2">
      <c r="A675">
        <v>2014</v>
      </c>
      <c r="B675" t="s">
        <v>445</v>
      </c>
      <c r="D675">
        <v>41</v>
      </c>
    </row>
    <row r="676" spans="1:4" hidden="1" x14ac:dyDescent="0.2">
      <c r="A676">
        <v>2014</v>
      </c>
      <c r="B676" t="s">
        <v>415</v>
      </c>
      <c r="D676">
        <v>12</v>
      </c>
    </row>
    <row r="677" spans="1:4" hidden="1" x14ac:dyDescent="0.2">
      <c r="A677">
        <v>2014</v>
      </c>
      <c r="B677" t="s">
        <v>416</v>
      </c>
      <c r="D677">
        <v>93</v>
      </c>
    </row>
    <row r="678" spans="1:4" hidden="1" x14ac:dyDescent="0.2">
      <c r="A678">
        <v>2014</v>
      </c>
      <c r="B678" t="s">
        <v>448</v>
      </c>
      <c r="D678">
        <v>31</v>
      </c>
    </row>
    <row r="679" spans="1:4" hidden="1" x14ac:dyDescent="0.2">
      <c r="A679">
        <v>2014</v>
      </c>
      <c r="B679" t="s">
        <v>417</v>
      </c>
      <c r="D679">
        <v>52273</v>
      </c>
    </row>
    <row r="680" spans="1:4" hidden="1" x14ac:dyDescent="0.2">
      <c r="A680">
        <v>2014</v>
      </c>
      <c r="B680" t="s">
        <v>418</v>
      </c>
      <c r="D680">
        <v>1736</v>
      </c>
    </row>
    <row r="681" spans="1:4" hidden="1" x14ac:dyDescent="0.2">
      <c r="A681">
        <v>2014</v>
      </c>
      <c r="B681" t="s">
        <v>419</v>
      </c>
      <c r="D681">
        <v>70</v>
      </c>
    </row>
    <row r="682" spans="1:4" hidden="1" x14ac:dyDescent="0.2">
      <c r="A682">
        <v>2014</v>
      </c>
      <c r="B682" t="s">
        <v>420</v>
      </c>
      <c r="D682">
        <v>7</v>
      </c>
    </row>
    <row r="683" spans="1:4" hidden="1" x14ac:dyDescent="0.2">
      <c r="A683">
        <v>2014</v>
      </c>
      <c r="B683" t="s">
        <v>421</v>
      </c>
      <c r="D683">
        <v>2387</v>
      </c>
    </row>
    <row r="684" spans="1:4" hidden="1" x14ac:dyDescent="0.2">
      <c r="A684">
        <v>2014</v>
      </c>
      <c r="B684" t="s">
        <v>422</v>
      </c>
      <c r="D684">
        <v>3824</v>
      </c>
    </row>
    <row r="685" spans="1:4" hidden="1" x14ac:dyDescent="0.2">
      <c r="A685">
        <v>2014</v>
      </c>
      <c r="B685" t="s">
        <v>423</v>
      </c>
      <c r="D685">
        <v>3857</v>
      </c>
    </row>
    <row r="686" spans="1:4" hidden="1" x14ac:dyDescent="0.2">
      <c r="A686">
        <v>2014</v>
      </c>
      <c r="B686" t="s">
        <v>424</v>
      </c>
      <c r="D686">
        <v>3733</v>
      </c>
    </row>
    <row r="687" spans="1:4" hidden="1" x14ac:dyDescent="0.2">
      <c r="A687">
        <v>2014</v>
      </c>
      <c r="B687" t="s">
        <v>425</v>
      </c>
      <c r="D687">
        <v>2564</v>
      </c>
    </row>
    <row r="688" spans="1:4" hidden="1" x14ac:dyDescent="0.2">
      <c r="A688">
        <v>2014</v>
      </c>
      <c r="B688" t="s">
        <v>426</v>
      </c>
      <c r="D688">
        <v>315</v>
      </c>
    </row>
    <row r="689" spans="1:4" hidden="1" x14ac:dyDescent="0.2">
      <c r="A689">
        <v>2014</v>
      </c>
      <c r="B689" t="s">
        <v>427</v>
      </c>
      <c r="D689">
        <v>19</v>
      </c>
    </row>
    <row r="690" spans="1:4" hidden="1" x14ac:dyDescent="0.2">
      <c r="A690">
        <v>2014</v>
      </c>
      <c r="B690" t="s">
        <v>428</v>
      </c>
      <c r="D690">
        <v>897</v>
      </c>
    </row>
    <row r="691" spans="1:4" hidden="1" x14ac:dyDescent="0.2">
      <c r="A691">
        <v>2014</v>
      </c>
      <c r="B691" t="s">
        <v>457</v>
      </c>
      <c r="D691">
        <v>5</v>
      </c>
    </row>
    <row r="692" spans="1:4" hidden="1" x14ac:dyDescent="0.2">
      <c r="A692">
        <v>2014</v>
      </c>
      <c r="B692" t="s">
        <v>430</v>
      </c>
      <c r="D692">
        <v>499</v>
      </c>
    </row>
    <row r="693" spans="1:4" hidden="1" x14ac:dyDescent="0.2">
      <c r="A693">
        <v>2014</v>
      </c>
      <c r="B693" t="s">
        <v>431</v>
      </c>
      <c r="D693">
        <v>377</v>
      </c>
    </row>
    <row r="694" spans="1:4" hidden="1" x14ac:dyDescent="0.2">
      <c r="A694">
        <v>2014</v>
      </c>
      <c r="B694" t="s">
        <v>432</v>
      </c>
      <c r="D694">
        <v>13670</v>
      </c>
    </row>
    <row r="695" spans="1:4" hidden="1" x14ac:dyDescent="0.2">
      <c r="A695">
        <v>2014</v>
      </c>
      <c r="B695" t="s">
        <v>433</v>
      </c>
      <c r="D695">
        <v>6</v>
      </c>
    </row>
    <row r="696" spans="1:4" hidden="1" x14ac:dyDescent="0.2">
      <c r="A696">
        <v>2014</v>
      </c>
      <c r="B696" t="s">
        <v>434</v>
      </c>
      <c r="D696">
        <v>14214</v>
      </c>
    </row>
    <row r="697" spans="1:4" hidden="1" x14ac:dyDescent="0.2">
      <c r="A697">
        <v>2014</v>
      </c>
      <c r="B697" t="s">
        <v>442</v>
      </c>
      <c r="D697">
        <v>7</v>
      </c>
    </row>
    <row r="698" spans="1:4" hidden="1" x14ac:dyDescent="0.2">
      <c r="A698">
        <v>2014</v>
      </c>
      <c r="B698" t="s">
        <v>435</v>
      </c>
      <c r="D698">
        <v>153163</v>
      </c>
    </row>
    <row r="699" spans="1:4" hidden="1" x14ac:dyDescent="0.2">
      <c r="A699">
        <v>2014</v>
      </c>
      <c r="B699" t="s">
        <v>436</v>
      </c>
      <c r="D699">
        <v>34</v>
      </c>
    </row>
    <row r="700" spans="1:4" hidden="1" x14ac:dyDescent="0.2">
      <c r="A700">
        <v>2014</v>
      </c>
      <c r="B700" t="s">
        <v>437</v>
      </c>
      <c r="D700">
        <v>21801</v>
      </c>
    </row>
    <row r="701" spans="1:4" hidden="1" x14ac:dyDescent="0.2">
      <c r="A701">
        <v>2014</v>
      </c>
      <c r="B701" t="s">
        <v>438</v>
      </c>
      <c r="D701">
        <v>8901</v>
      </c>
    </row>
    <row r="702" spans="1:4" hidden="1" x14ac:dyDescent="0.2">
      <c r="A702">
        <v>2014</v>
      </c>
      <c r="B702" t="s">
        <v>449</v>
      </c>
      <c r="D702">
        <v>57</v>
      </c>
    </row>
    <row r="703" spans="1:4" hidden="1" x14ac:dyDescent="0.2">
      <c r="A703">
        <v>2014</v>
      </c>
      <c r="B703" t="s">
        <v>450</v>
      </c>
      <c r="D703">
        <v>50</v>
      </c>
    </row>
    <row r="704" spans="1:4" hidden="1" x14ac:dyDescent="0.2">
      <c r="A704">
        <v>2015</v>
      </c>
      <c r="B704" t="s">
        <v>379</v>
      </c>
      <c r="D704">
        <v>805</v>
      </c>
    </row>
    <row r="705" spans="1:4" hidden="1" x14ac:dyDescent="0.2">
      <c r="A705">
        <v>2015</v>
      </c>
      <c r="B705" t="s">
        <v>456</v>
      </c>
      <c r="D705">
        <v>19</v>
      </c>
    </row>
    <row r="706" spans="1:4" hidden="1" x14ac:dyDescent="0.2">
      <c r="A706">
        <v>2015</v>
      </c>
      <c r="B706" t="s">
        <v>380</v>
      </c>
      <c r="D706">
        <v>192</v>
      </c>
    </row>
    <row r="707" spans="1:4" hidden="1" x14ac:dyDescent="0.2">
      <c r="A707">
        <v>2015</v>
      </c>
      <c r="B707" t="s">
        <v>381</v>
      </c>
      <c r="D707">
        <v>15874</v>
      </c>
    </row>
    <row r="708" spans="1:4" hidden="1" x14ac:dyDescent="0.2">
      <c r="A708">
        <v>2015</v>
      </c>
      <c r="B708" t="s">
        <v>382</v>
      </c>
      <c r="D708">
        <v>149</v>
      </c>
    </row>
    <row r="709" spans="1:4" hidden="1" x14ac:dyDescent="0.2">
      <c r="A709">
        <v>2015</v>
      </c>
      <c r="B709" t="s">
        <v>383</v>
      </c>
      <c r="D709">
        <v>40521</v>
      </c>
    </row>
    <row r="710" spans="1:4" hidden="1" x14ac:dyDescent="0.2">
      <c r="A710">
        <v>2015</v>
      </c>
      <c r="B710" t="s">
        <v>384</v>
      </c>
      <c r="D710">
        <v>625</v>
      </c>
    </row>
    <row r="711" spans="1:4" hidden="1" x14ac:dyDescent="0.2">
      <c r="A711">
        <v>2015</v>
      </c>
      <c r="B711" t="s">
        <v>446</v>
      </c>
      <c r="D711">
        <v>64</v>
      </c>
    </row>
    <row r="712" spans="1:4" hidden="1" x14ac:dyDescent="0.2">
      <c r="A712">
        <v>2015</v>
      </c>
      <c r="B712" t="s">
        <v>439</v>
      </c>
      <c r="D712">
        <v>1553</v>
      </c>
    </row>
    <row r="713" spans="1:4" hidden="1" x14ac:dyDescent="0.2">
      <c r="A713">
        <v>2015</v>
      </c>
      <c r="B713" t="s">
        <v>386</v>
      </c>
      <c r="D713">
        <v>10391</v>
      </c>
    </row>
    <row r="714" spans="1:4" hidden="1" x14ac:dyDescent="0.2">
      <c r="A714">
        <v>2015</v>
      </c>
      <c r="B714" t="s">
        <v>387</v>
      </c>
      <c r="D714">
        <v>477</v>
      </c>
    </row>
    <row r="715" spans="1:4" hidden="1" x14ac:dyDescent="0.2">
      <c r="A715">
        <v>2015</v>
      </c>
      <c r="B715" t="s">
        <v>388</v>
      </c>
      <c r="D715">
        <v>2962</v>
      </c>
    </row>
    <row r="716" spans="1:4" hidden="1" x14ac:dyDescent="0.2">
      <c r="A716">
        <v>2015</v>
      </c>
      <c r="B716" t="s">
        <v>390</v>
      </c>
      <c r="D716">
        <v>2268</v>
      </c>
    </row>
    <row r="717" spans="1:4" hidden="1" x14ac:dyDescent="0.2">
      <c r="A717">
        <v>2015</v>
      </c>
      <c r="B717" t="s">
        <v>391</v>
      </c>
      <c r="D717">
        <v>21</v>
      </c>
    </row>
    <row r="718" spans="1:4" hidden="1" x14ac:dyDescent="0.2">
      <c r="A718">
        <v>2015</v>
      </c>
      <c r="B718" t="s">
        <v>392</v>
      </c>
      <c r="D718">
        <v>7</v>
      </c>
    </row>
    <row r="719" spans="1:4" hidden="1" x14ac:dyDescent="0.2">
      <c r="A719">
        <v>2015</v>
      </c>
      <c r="B719" t="s">
        <v>440</v>
      </c>
      <c r="D719">
        <v>50</v>
      </c>
    </row>
    <row r="720" spans="1:4" hidden="1" x14ac:dyDescent="0.2">
      <c r="A720">
        <v>2015</v>
      </c>
      <c r="B720" t="s">
        <v>443</v>
      </c>
      <c r="D720">
        <v>96</v>
      </c>
    </row>
    <row r="721" spans="1:4" hidden="1" x14ac:dyDescent="0.2">
      <c r="A721">
        <v>2015</v>
      </c>
      <c r="B721" t="s">
        <v>393</v>
      </c>
      <c r="D721">
        <v>621</v>
      </c>
    </row>
    <row r="722" spans="1:4" hidden="1" x14ac:dyDescent="0.2">
      <c r="A722">
        <v>2015</v>
      </c>
      <c r="B722" t="s">
        <v>394</v>
      </c>
      <c r="D722">
        <v>2074</v>
      </c>
    </row>
    <row r="723" spans="1:4" hidden="1" x14ac:dyDescent="0.2">
      <c r="A723">
        <v>2015</v>
      </c>
      <c r="B723" t="s">
        <v>395</v>
      </c>
      <c r="D723">
        <v>3348</v>
      </c>
    </row>
    <row r="724" spans="1:4" hidden="1" x14ac:dyDescent="0.2">
      <c r="A724">
        <v>2015</v>
      </c>
      <c r="B724" t="s">
        <v>452</v>
      </c>
      <c r="D724">
        <v>10</v>
      </c>
    </row>
    <row r="725" spans="1:4" hidden="1" x14ac:dyDescent="0.2">
      <c r="A725">
        <v>2015</v>
      </c>
      <c r="B725" t="s">
        <v>441</v>
      </c>
      <c r="D725">
        <v>668</v>
      </c>
    </row>
    <row r="726" spans="1:4" hidden="1" x14ac:dyDescent="0.2">
      <c r="A726">
        <v>2015</v>
      </c>
      <c r="B726" t="s">
        <v>447</v>
      </c>
      <c r="D726">
        <v>6</v>
      </c>
    </row>
    <row r="727" spans="1:4" hidden="1" x14ac:dyDescent="0.2">
      <c r="A727">
        <v>2015</v>
      </c>
      <c r="B727" t="s">
        <v>444</v>
      </c>
      <c r="D727">
        <v>301</v>
      </c>
    </row>
    <row r="728" spans="1:4" hidden="1" x14ac:dyDescent="0.2">
      <c r="A728">
        <v>2015</v>
      </c>
      <c r="B728" t="s">
        <v>397</v>
      </c>
      <c r="D728">
        <v>85669</v>
      </c>
    </row>
    <row r="729" spans="1:4" hidden="1" x14ac:dyDescent="0.2">
      <c r="A729">
        <v>2015</v>
      </c>
      <c r="B729" t="s">
        <v>451</v>
      </c>
      <c r="D729">
        <v>23</v>
      </c>
    </row>
    <row r="730" spans="1:4" hidden="1" x14ac:dyDescent="0.2">
      <c r="A730">
        <v>2015</v>
      </c>
      <c r="B730" t="s">
        <v>398</v>
      </c>
      <c r="D730">
        <v>33859</v>
      </c>
    </row>
    <row r="731" spans="1:4" hidden="1" x14ac:dyDescent="0.2">
      <c r="A731">
        <v>2015</v>
      </c>
      <c r="B731" t="s">
        <v>453</v>
      </c>
      <c r="D731">
        <v>424</v>
      </c>
    </row>
    <row r="732" spans="1:4" hidden="1" x14ac:dyDescent="0.2">
      <c r="A732">
        <v>2015</v>
      </c>
      <c r="B732" t="s">
        <v>400</v>
      </c>
      <c r="D732">
        <v>3285</v>
      </c>
    </row>
    <row r="733" spans="1:4" hidden="1" x14ac:dyDescent="0.2">
      <c r="A733">
        <v>2015</v>
      </c>
      <c r="B733" t="s">
        <v>401</v>
      </c>
      <c r="D733">
        <v>218</v>
      </c>
    </row>
    <row r="734" spans="1:4" hidden="1" x14ac:dyDescent="0.2">
      <c r="A734">
        <v>2015</v>
      </c>
      <c r="B734" t="s">
        <v>402</v>
      </c>
      <c r="D734">
        <v>20614</v>
      </c>
    </row>
    <row r="735" spans="1:4" hidden="1" x14ac:dyDescent="0.2">
      <c r="A735">
        <v>2015</v>
      </c>
      <c r="B735" t="s">
        <v>403</v>
      </c>
      <c r="D735">
        <v>297</v>
      </c>
    </row>
    <row r="736" spans="1:4" hidden="1" x14ac:dyDescent="0.2">
      <c r="A736">
        <v>2015</v>
      </c>
      <c r="B736" t="s">
        <v>404</v>
      </c>
      <c r="D736">
        <v>6</v>
      </c>
    </row>
    <row r="737" spans="1:4" hidden="1" x14ac:dyDescent="0.2">
      <c r="A737">
        <v>2015</v>
      </c>
      <c r="B737" t="s">
        <v>405</v>
      </c>
      <c r="D737">
        <v>1931</v>
      </c>
    </row>
    <row r="738" spans="1:4" hidden="1" x14ac:dyDescent="0.2">
      <c r="A738">
        <v>2015</v>
      </c>
      <c r="B738" t="s">
        <v>406</v>
      </c>
      <c r="D738">
        <v>123</v>
      </c>
    </row>
    <row r="739" spans="1:4" hidden="1" x14ac:dyDescent="0.2">
      <c r="A739">
        <v>2015</v>
      </c>
      <c r="B739" t="s">
        <v>407</v>
      </c>
      <c r="D739">
        <v>120</v>
      </c>
    </row>
    <row r="740" spans="1:4" hidden="1" x14ac:dyDescent="0.2">
      <c r="A740">
        <v>2015</v>
      </c>
      <c r="B740" t="s">
        <v>408</v>
      </c>
      <c r="D740">
        <v>662</v>
      </c>
    </row>
    <row r="741" spans="1:4" hidden="1" x14ac:dyDescent="0.2">
      <c r="A741">
        <v>2015</v>
      </c>
      <c r="B741" t="s">
        <v>409</v>
      </c>
      <c r="D741">
        <v>24028</v>
      </c>
    </row>
    <row r="742" spans="1:4" hidden="1" x14ac:dyDescent="0.2">
      <c r="A742">
        <v>2015</v>
      </c>
      <c r="B742" t="s">
        <v>455</v>
      </c>
      <c r="D742">
        <v>70</v>
      </c>
    </row>
    <row r="743" spans="1:4" hidden="1" x14ac:dyDescent="0.2">
      <c r="A743">
        <v>2015</v>
      </c>
      <c r="B743" t="s">
        <v>410</v>
      </c>
      <c r="D743">
        <v>44800</v>
      </c>
    </row>
    <row r="744" spans="1:4" hidden="1" x14ac:dyDescent="0.2">
      <c r="A744">
        <v>2015</v>
      </c>
      <c r="B744" t="s">
        <v>411</v>
      </c>
      <c r="D744">
        <v>5</v>
      </c>
    </row>
    <row r="745" spans="1:4" hidden="1" x14ac:dyDescent="0.2">
      <c r="A745">
        <v>2015</v>
      </c>
      <c r="B745" t="s">
        <v>412</v>
      </c>
      <c r="D745">
        <v>2672</v>
      </c>
    </row>
    <row r="746" spans="1:4" hidden="1" x14ac:dyDescent="0.2">
      <c r="A746">
        <v>2015</v>
      </c>
      <c r="B746" t="s">
        <v>413</v>
      </c>
      <c r="D746">
        <v>5</v>
      </c>
    </row>
    <row r="747" spans="1:4" hidden="1" x14ac:dyDescent="0.2">
      <c r="A747">
        <v>2015</v>
      </c>
      <c r="B747" t="s">
        <v>414</v>
      </c>
      <c r="D747">
        <v>29549</v>
      </c>
    </row>
    <row r="748" spans="1:4" hidden="1" x14ac:dyDescent="0.2">
      <c r="A748">
        <v>2015</v>
      </c>
      <c r="B748" t="s">
        <v>445</v>
      </c>
      <c r="D748">
        <v>44</v>
      </c>
    </row>
    <row r="749" spans="1:4" hidden="1" x14ac:dyDescent="0.2">
      <c r="A749">
        <v>2015</v>
      </c>
      <c r="B749" t="s">
        <v>415</v>
      </c>
      <c r="D749">
        <v>11</v>
      </c>
    </row>
    <row r="750" spans="1:4" hidden="1" x14ac:dyDescent="0.2">
      <c r="A750">
        <v>2015</v>
      </c>
      <c r="B750" t="s">
        <v>416</v>
      </c>
      <c r="D750">
        <v>94</v>
      </c>
    </row>
    <row r="751" spans="1:4" hidden="1" x14ac:dyDescent="0.2">
      <c r="A751">
        <v>2015</v>
      </c>
      <c r="B751" t="s">
        <v>448</v>
      </c>
      <c r="D751">
        <v>31</v>
      </c>
    </row>
    <row r="752" spans="1:4" hidden="1" x14ac:dyDescent="0.2">
      <c r="A752">
        <v>2015</v>
      </c>
      <c r="B752" t="s">
        <v>417</v>
      </c>
      <c r="D752">
        <v>47161</v>
      </c>
    </row>
    <row r="753" spans="1:4" hidden="1" x14ac:dyDescent="0.2">
      <c r="A753">
        <v>2015</v>
      </c>
      <c r="B753" t="s">
        <v>418</v>
      </c>
      <c r="D753">
        <v>1496</v>
      </c>
    </row>
    <row r="754" spans="1:4" hidden="1" x14ac:dyDescent="0.2">
      <c r="A754">
        <v>2015</v>
      </c>
      <c r="B754" t="s">
        <v>419</v>
      </c>
      <c r="D754">
        <v>76</v>
      </c>
    </row>
    <row r="755" spans="1:4" hidden="1" x14ac:dyDescent="0.2">
      <c r="A755">
        <v>2015</v>
      </c>
      <c r="B755" t="s">
        <v>420</v>
      </c>
      <c r="D755">
        <v>7</v>
      </c>
    </row>
    <row r="756" spans="1:4" hidden="1" x14ac:dyDescent="0.2">
      <c r="A756">
        <v>2015</v>
      </c>
      <c r="B756" t="s">
        <v>421</v>
      </c>
      <c r="D756">
        <v>2021</v>
      </c>
    </row>
    <row r="757" spans="1:4" hidden="1" x14ac:dyDescent="0.2">
      <c r="A757">
        <v>2015</v>
      </c>
      <c r="B757" t="s">
        <v>422</v>
      </c>
      <c r="D757">
        <v>3994</v>
      </c>
    </row>
    <row r="758" spans="1:4" hidden="1" x14ac:dyDescent="0.2">
      <c r="A758">
        <v>2015</v>
      </c>
      <c r="B758" t="s">
        <v>423</v>
      </c>
      <c r="D758">
        <v>4368</v>
      </c>
    </row>
    <row r="759" spans="1:4" hidden="1" x14ac:dyDescent="0.2">
      <c r="A759">
        <v>2015</v>
      </c>
      <c r="B759" t="s">
        <v>424</v>
      </c>
      <c r="D759">
        <v>3033</v>
      </c>
    </row>
    <row r="760" spans="1:4" hidden="1" x14ac:dyDescent="0.2">
      <c r="A760">
        <v>2015</v>
      </c>
      <c r="B760" t="s">
        <v>425</v>
      </c>
      <c r="D760">
        <v>2507</v>
      </c>
    </row>
    <row r="761" spans="1:4" hidden="1" x14ac:dyDescent="0.2">
      <c r="A761">
        <v>2015</v>
      </c>
      <c r="B761" t="s">
        <v>426</v>
      </c>
      <c r="D761">
        <v>330</v>
      </c>
    </row>
    <row r="762" spans="1:4" hidden="1" x14ac:dyDescent="0.2">
      <c r="A762">
        <v>2015</v>
      </c>
      <c r="B762" t="s">
        <v>427</v>
      </c>
      <c r="D762">
        <v>15</v>
      </c>
    </row>
    <row r="763" spans="1:4" hidden="1" x14ac:dyDescent="0.2">
      <c r="A763">
        <v>2015</v>
      </c>
      <c r="B763" t="s">
        <v>428</v>
      </c>
      <c r="D763">
        <v>726</v>
      </c>
    </row>
    <row r="764" spans="1:4" hidden="1" x14ac:dyDescent="0.2">
      <c r="A764">
        <v>2015</v>
      </c>
      <c r="B764" t="s">
        <v>457</v>
      </c>
      <c r="D764">
        <v>5</v>
      </c>
    </row>
    <row r="765" spans="1:4" hidden="1" x14ac:dyDescent="0.2">
      <c r="A765">
        <v>2015</v>
      </c>
      <c r="B765" t="s">
        <v>430</v>
      </c>
      <c r="D765">
        <v>456</v>
      </c>
    </row>
    <row r="766" spans="1:4" hidden="1" x14ac:dyDescent="0.2">
      <c r="A766">
        <v>2015</v>
      </c>
      <c r="B766" t="s">
        <v>431</v>
      </c>
      <c r="D766">
        <v>437</v>
      </c>
    </row>
    <row r="767" spans="1:4" hidden="1" x14ac:dyDescent="0.2">
      <c r="A767">
        <v>2015</v>
      </c>
      <c r="B767" t="s">
        <v>432</v>
      </c>
      <c r="D767">
        <v>14217</v>
      </c>
    </row>
    <row r="768" spans="1:4" hidden="1" x14ac:dyDescent="0.2">
      <c r="A768">
        <v>2015</v>
      </c>
      <c r="B768" t="s">
        <v>433</v>
      </c>
      <c r="D768">
        <v>6</v>
      </c>
    </row>
    <row r="769" spans="1:4" hidden="1" x14ac:dyDescent="0.2">
      <c r="A769">
        <v>2015</v>
      </c>
      <c r="B769" t="s">
        <v>434</v>
      </c>
      <c r="D769">
        <v>13339</v>
      </c>
    </row>
    <row r="770" spans="1:4" hidden="1" x14ac:dyDescent="0.2">
      <c r="A770">
        <v>2015</v>
      </c>
      <c r="B770" t="s">
        <v>442</v>
      </c>
      <c r="D770">
        <v>7</v>
      </c>
    </row>
    <row r="771" spans="1:4" hidden="1" x14ac:dyDescent="0.2">
      <c r="A771">
        <v>2015</v>
      </c>
      <c r="B771" t="s">
        <v>435</v>
      </c>
      <c r="D771">
        <v>145054</v>
      </c>
    </row>
    <row r="772" spans="1:4" hidden="1" x14ac:dyDescent="0.2">
      <c r="A772">
        <v>2015</v>
      </c>
      <c r="B772" t="s">
        <v>436</v>
      </c>
      <c r="D772">
        <v>34</v>
      </c>
    </row>
    <row r="773" spans="1:4" hidden="1" x14ac:dyDescent="0.2">
      <c r="A773">
        <v>2015</v>
      </c>
      <c r="B773" t="s">
        <v>437</v>
      </c>
      <c r="D773">
        <v>24319</v>
      </c>
    </row>
    <row r="774" spans="1:4" hidden="1" x14ac:dyDescent="0.2">
      <c r="A774">
        <v>2015</v>
      </c>
      <c r="B774" t="s">
        <v>438</v>
      </c>
      <c r="D774">
        <v>9368</v>
      </c>
    </row>
    <row r="775" spans="1:4" hidden="1" x14ac:dyDescent="0.2">
      <c r="A775">
        <v>2015</v>
      </c>
      <c r="B775" t="s">
        <v>449</v>
      </c>
      <c r="D775">
        <v>54</v>
      </c>
    </row>
    <row r="776" spans="1:4" hidden="1" x14ac:dyDescent="0.2">
      <c r="A776">
        <v>2015</v>
      </c>
      <c r="B776" t="s">
        <v>450</v>
      </c>
      <c r="D776">
        <v>50</v>
      </c>
    </row>
    <row r="777" spans="1:4" hidden="1" x14ac:dyDescent="0.2">
      <c r="A777">
        <v>2016</v>
      </c>
      <c r="B777" t="s">
        <v>379</v>
      </c>
      <c r="D777">
        <v>739</v>
      </c>
    </row>
    <row r="778" spans="1:4" hidden="1" x14ac:dyDescent="0.2">
      <c r="A778">
        <v>2016</v>
      </c>
      <c r="B778" t="s">
        <v>456</v>
      </c>
      <c r="D778">
        <v>31</v>
      </c>
    </row>
    <row r="779" spans="1:4" hidden="1" x14ac:dyDescent="0.2">
      <c r="A779">
        <v>2016</v>
      </c>
      <c r="B779" t="s">
        <v>380</v>
      </c>
      <c r="D779">
        <v>184</v>
      </c>
    </row>
    <row r="780" spans="1:4" hidden="1" x14ac:dyDescent="0.2">
      <c r="A780">
        <v>2016</v>
      </c>
      <c r="B780" t="s">
        <v>381</v>
      </c>
      <c r="D780">
        <v>17535</v>
      </c>
    </row>
    <row r="781" spans="1:4" hidden="1" x14ac:dyDescent="0.2">
      <c r="A781">
        <v>2016</v>
      </c>
      <c r="B781" t="s">
        <v>382</v>
      </c>
      <c r="D781">
        <v>148</v>
      </c>
    </row>
    <row r="782" spans="1:4" hidden="1" x14ac:dyDescent="0.2">
      <c r="A782">
        <v>2016</v>
      </c>
      <c r="B782" t="s">
        <v>383</v>
      </c>
      <c r="D782">
        <v>41631</v>
      </c>
    </row>
    <row r="783" spans="1:4" hidden="1" x14ac:dyDescent="0.2">
      <c r="A783">
        <v>2016</v>
      </c>
      <c r="B783" t="s">
        <v>384</v>
      </c>
      <c r="D783">
        <v>652</v>
      </c>
    </row>
    <row r="784" spans="1:4" hidden="1" x14ac:dyDescent="0.2">
      <c r="A784">
        <v>2016</v>
      </c>
      <c r="B784" t="s">
        <v>458</v>
      </c>
      <c r="D784">
        <v>7</v>
      </c>
    </row>
    <row r="785" spans="1:4" hidden="1" x14ac:dyDescent="0.2">
      <c r="A785">
        <v>2016</v>
      </c>
      <c r="B785" t="s">
        <v>446</v>
      </c>
      <c r="D785">
        <v>60</v>
      </c>
    </row>
    <row r="786" spans="1:4" hidden="1" x14ac:dyDescent="0.2">
      <c r="A786">
        <v>2016</v>
      </c>
      <c r="B786" t="s">
        <v>439</v>
      </c>
      <c r="D786">
        <v>1229</v>
      </c>
    </row>
    <row r="787" spans="1:4" hidden="1" x14ac:dyDescent="0.2">
      <c r="A787">
        <v>2016</v>
      </c>
      <c r="B787" t="s">
        <v>386</v>
      </c>
      <c r="D787">
        <v>8677</v>
      </c>
    </row>
    <row r="788" spans="1:4" hidden="1" x14ac:dyDescent="0.2">
      <c r="A788">
        <v>2016</v>
      </c>
      <c r="B788" t="s">
        <v>387</v>
      </c>
      <c r="D788">
        <v>337</v>
      </c>
    </row>
    <row r="789" spans="1:4" hidden="1" x14ac:dyDescent="0.2">
      <c r="A789">
        <v>2016</v>
      </c>
      <c r="B789" t="s">
        <v>388</v>
      </c>
      <c r="D789">
        <v>3672</v>
      </c>
    </row>
    <row r="790" spans="1:4" hidden="1" x14ac:dyDescent="0.2">
      <c r="A790">
        <v>2016</v>
      </c>
      <c r="B790" t="s">
        <v>390</v>
      </c>
      <c r="D790">
        <v>1954</v>
      </c>
    </row>
    <row r="791" spans="1:4" hidden="1" x14ac:dyDescent="0.2">
      <c r="A791">
        <v>2016</v>
      </c>
      <c r="B791" t="s">
        <v>391</v>
      </c>
      <c r="D791">
        <v>22</v>
      </c>
    </row>
    <row r="792" spans="1:4" hidden="1" x14ac:dyDescent="0.2">
      <c r="A792">
        <v>2016</v>
      </c>
      <c r="B792" t="s">
        <v>392</v>
      </c>
      <c r="D792">
        <v>7</v>
      </c>
    </row>
    <row r="793" spans="1:4" hidden="1" x14ac:dyDescent="0.2">
      <c r="A793">
        <v>2016</v>
      </c>
      <c r="B793" t="s">
        <v>440</v>
      </c>
      <c r="D793">
        <v>39</v>
      </c>
    </row>
    <row r="794" spans="1:4" hidden="1" x14ac:dyDescent="0.2">
      <c r="A794">
        <v>2016</v>
      </c>
      <c r="B794" t="s">
        <v>443</v>
      </c>
      <c r="D794">
        <v>88</v>
      </c>
    </row>
    <row r="795" spans="1:4" hidden="1" x14ac:dyDescent="0.2">
      <c r="A795">
        <v>2016</v>
      </c>
      <c r="B795" t="s">
        <v>393</v>
      </c>
      <c r="D795">
        <v>619</v>
      </c>
    </row>
    <row r="796" spans="1:4" hidden="1" x14ac:dyDescent="0.2">
      <c r="A796">
        <v>2016</v>
      </c>
      <c r="B796" t="s">
        <v>394</v>
      </c>
      <c r="D796">
        <v>1644</v>
      </c>
    </row>
    <row r="797" spans="1:4" hidden="1" x14ac:dyDescent="0.2">
      <c r="A797">
        <v>2016</v>
      </c>
      <c r="B797" t="s">
        <v>395</v>
      </c>
      <c r="D797">
        <v>3056</v>
      </c>
    </row>
    <row r="798" spans="1:4" hidden="1" x14ac:dyDescent="0.2">
      <c r="A798">
        <v>2016</v>
      </c>
      <c r="B798" t="s">
        <v>452</v>
      </c>
      <c r="D798">
        <v>8</v>
      </c>
    </row>
    <row r="799" spans="1:4" hidden="1" x14ac:dyDescent="0.2">
      <c r="A799">
        <v>2016</v>
      </c>
      <c r="B799" t="s">
        <v>441</v>
      </c>
      <c r="D799">
        <v>528</v>
      </c>
    </row>
    <row r="800" spans="1:4" hidden="1" x14ac:dyDescent="0.2">
      <c r="A800">
        <v>2016</v>
      </c>
      <c r="B800" t="s">
        <v>444</v>
      </c>
      <c r="D800">
        <v>261</v>
      </c>
    </row>
    <row r="801" spans="1:4" hidden="1" x14ac:dyDescent="0.2">
      <c r="A801">
        <v>2016</v>
      </c>
      <c r="B801" t="s">
        <v>397</v>
      </c>
      <c r="D801">
        <v>93680</v>
      </c>
    </row>
    <row r="802" spans="1:4" hidden="1" x14ac:dyDescent="0.2">
      <c r="A802">
        <v>2016</v>
      </c>
      <c r="B802" t="s">
        <v>451</v>
      </c>
      <c r="D802">
        <v>23</v>
      </c>
    </row>
    <row r="803" spans="1:4" hidden="1" x14ac:dyDescent="0.2">
      <c r="A803">
        <v>2016</v>
      </c>
      <c r="B803" t="s">
        <v>398</v>
      </c>
      <c r="D803">
        <v>28416</v>
      </c>
    </row>
    <row r="804" spans="1:4" hidden="1" x14ac:dyDescent="0.2">
      <c r="A804">
        <v>2016</v>
      </c>
      <c r="B804" t="s">
        <v>453</v>
      </c>
      <c r="D804">
        <v>748</v>
      </c>
    </row>
    <row r="805" spans="1:4" hidden="1" x14ac:dyDescent="0.2">
      <c r="A805">
        <v>2016</v>
      </c>
      <c r="B805" t="s">
        <v>400</v>
      </c>
      <c r="D805">
        <v>3623</v>
      </c>
    </row>
    <row r="806" spans="1:4" hidden="1" x14ac:dyDescent="0.2">
      <c r="A806">
        <v>2016</v>
      </c>
      <c r="B806" t="s">
        <v>401</v>
      </c>
      <c r="D806">
        <v>211</v>
      </c>
    </row>
    <row r="807" spans="1:4" hidden="1" x14ac:dyDescent="0.2">
      <c r="A807">
        <v>2016</v>
      </c>
      <c r="B807" t="s">
        <v>402</v>
      </c>
      <c r="D807">
        <v>18997</v>
      </c>
    </row>
    <row r="808" spans="1:4" hidden="1" x14ac:dyDescent="0.2">
      <c r="A808">
        <v>2016</v>
      </c>
      <c r="B808" t="s">
        <v>403</v>
      </c>
      <c r="D808">
        <v>267</v>
      </c>
    </row>
    <row r="809" spans="1:4" hidden="1" x14ac:dyDescent="0.2">
      <c r="A809">
        <v>2016</v>
      </c>
      <c r="B809" t="s">
        <v>404</v>
      </c>
      <c r="D809">
        <v>6</v>
      </c>
    </row>
    <row r="810" spans="1:4" hidden="1" x14ac:dyDescent="0.2">
      <c r="A810">
        <v>2016</v>
      </c>
      <c r="B810" t="s">
        <v>405</v>
      </c>
      <c r="D810">
        <v>2280</v>
      </c>
    </row>
    <row r="811" spans="1:4" hidden="1" x14ac:dyDescent="0.2">
      <c r="A811">
        <v>2016</v>
      </c>
      <c r="B811" t="s">
        <v>406</v>
      </c>
      <c r="D811">
        <v>116</v>
      </c>
    </row>
    <row r="812" spans="1:4" hidden="1" x14ac:dyDescent="0.2">
      <c r="A812">
        <v>2016</v>
      </c>
      <c r="B812" t="s">
        <v>407</v>
      </c>
      <c r="D812">
        <v>125</v>
      </c>
    </row>
    <row r="813" spans="1:4" hidden="1" x14ac:dyDescent="0.2">
      <c r="A813">
        <v>2016</v>
      </c>
      <c r="B813" t="s">
        <v>408</v>
      </c>
      <c r="D813">
        <v>697</v>
      </c>
    </row>
    <row r="814" spans="1:4" hidden="1" x14ac:dyDescent="0.2">
      <c r="A814">
        <v>2016</v>
      </c>
      <c r="B814" t="s">
        <v>409</v>
      </c>
      <c r="D814">
        <v>27210</v>
      </c>
    </row>
    <row r="815" spans="1:4" hidden="1" x14ac:dyDescent="0.2">
      <c r="A815">
        <v>2016</v>
      </c>
      <c r="B815" t="s">
        <v>455</v>
      </c>
      <c r="D815">
        <v>75</v>
      </c>
    </row>
    <row r="816" spans="1:4" hidden="1" x14ac:dyDescent="0.2">
      <c r="A816">
        <v>2016</v>
      </c>
      <c r="B816" t="s">
        <v>410</v>
      </c>
      <c r="D816">
        <v>48469</v>
      </c>
    </row>
    <row r="817" spans="1:4" hidden="1" x14ac:dyDescent="0.2">
      <c r="A817">
        <v>2016</v>
      </c>
      <c r="B817" t="s">
        <v>412</v>
      </c>
      <c r="D817">
        <v>2882</v>
      </c>
    </row>
    <row r="818" spans="1:4" hidden="1" x14ac:dyDescent="0.2">
      <c r="A818">
        <v>2016</v>
      </c>
      <c r="B818" t="s">
        <v>413</v>
      </c>
      <c r="D818">
        <v>5</v>
      </c>
    </row>
    <row r="819" spans="1:4" hidden="1" x14ac:dyDescent="0.2">
      <c r="A819">
        <v>2016</v>
      </c>
      <c r="B819" t="s">
        <v>414</v>
      </c>
      <c r="D819">
        <v>26775</v>
      </c>
    </row>
    <row r="820" spans="1:4" hidden="1" x14ac:dyDescent="0.2">
      <c r="A820">
        <v>2016</v>
      </c>
      <c r="B820" t="s">
        <v>445</v>
      </c>
      <c r="D820">
        <v>40</v>
      </c>
    </row>
    <row r="821" spans="1:4" hidden="1" x14ac:dyDescent="0.2">
      <c r="A821">
        <v>2016</v>
      </c>
      <c r="B821" t="s">
        <v>415</v>
      </c>
      <c r="D821">
        <v>11</v>
      </c>
    </row>
    <row r="822" spans="1:4" hidden="1" x14ac:dyDescent="0.2">
      <c r="A822">
        <v>2016</v>
      </c>
      <c r="B822" t="s">
        <v>416</v>
      </c>
      <c r="D822">
        <v>94</v>
      </c>
    </row>
    <row r="823" spans="1:4" hidden="1" x14ac:dyDescent="0.2">
      <c r="A823">
        <v>2016</v>
      </c>
      <c r="B823" t="s">
        <v>448</v>
      </c>
      <c r="D823">
        <v>30</v>
      </c>
    </row>
    <row r="824" spans="1:4" hidden="1" x14ac:dyDescent="0.2">
      <c r="A824">
        <v>2016</v>
      </c>
      <c r="B824" t="s">
        <v>417</v>
      </c>
      <c r="D824">
        <v>42613</v>
      </c>
    </row>
    <row r="825" spans="1:4" hidden="1" x14ac:dyDescent="0.2">
      <c r="A825">
        <v>2016</v>
      </c>
      <c r="B825" t="s">
        <v>418</v>
      </c>
      <c r="D825">
        <v>1365</v>
      </c>
    </row>
    <row r="826" spans="1:4" hidden="1" x14ac:dyDescent="0.2">
      <c r="A826">
        <v>2016</v>
      </c>
      <c r="B826" t="s">
        <v>420</v>
      </c>
      <c r="D826">
        <v>7</v>
      </c>
    </row>
    <row r="827" spans="1:4" hidden="1" x14ac:dyDescent="0.2">
      <c r="A827">
        <v>2016</v>
      </c>
      <c r="B827" t="s">
        <v>421</v>
      </c>
      <c r="D827">
        <v>1633</v>
      </c>
    </row>
    <row r="828" spans="1:4" hidden="1" x14ac:dyDescent="0.2">
      <c r="A828">
        <v>2016</v>
      </c>
      <c r="B828" t="s">
        <v>422</v>
      </c>
      <c r="D828">
        <v>4078</v>
      </c>
    </row>
    <row r="829" spans="1:4" hidden="1" x14ac:dyDescent="0.2">
      <c r="A829">
        <v>2016</v>
      </c>
      <c r="B829" t="s">
        <v>423</v>
      </c>
      <c r="D829">
        <v>4832</v>
      </c>
    </row>
    <row r="830" spans="1:4" hidden="1" x14ac:dyDescent="0.2">
      <c r="A830">
        <v>2016</v>
      </c>
      <c r="B830" t="s">
        <v>424</v>
      </c>
      <c r="D830">
        <v>2018</v>
      </c>
    </row>
    <row r="831" spans="1:4" hidden="1" x14ac:dyDescent="0.2">
      <c r="A831">
        <v>2016</v>
      </c>
      <c r="B831" t="s">
        <v>425</v>
      </c>
      <c r="D831">
        <v>2485</v>
      </c>
    </row>
    <row r="832" spans="1:4" hidden="1" x14ac:dyDescent="0.2">
      <c r="A832">
        <v>2016</v>
      </c>
      <c r="B832" t="s">
        <v>426</v>
      </c>
      <c r="D832">
        <v>349</v>
      </c>
    </row>
    <row r="833" spans="1:4" hidden="1" x14ac:dyDescent="0.2">
      <c r="A833">
        <v>2016</v>
      </c>
      <c r="B833" t="s">
        <v>427</v>
      </c>
      <c r="D833">
        <v>14</v>
      </c>
    </row>
    <row r="834" spans="1:4" hidden="1" x14ac:dyDescent="0.2">
      <c r="A834">
        <v>2016</v>
      </c>
      <c r="B834" t="s">
        <v>428</v>
      </c>
      <c r="D834">
        <v>493</v>
      </c>
    </row>
    <row r="835" spans="1:4" hidden="1" x14ac:dyDescent="0.2">
      <c r="A835">
        <v>2016</v>
      </c>
      <c r="B835" t="s">
        <v>429</v>
      </c>
      <c r="D835">
        <v>16</v>
      </c>
    </row>
    <row r="836" spans="1:4" hidden="1" x14ac:dyDescent="0.2">
      <c r="A836">
        <v>2016</v>
      </c>
      <c r="B836" t="s">
        <v>457</v>
      </c>
      <c r="D836">
        <v>5</v>
      </c>
    </row>
    <row r="837" spans="1:4" hidden="1" x14ac:dyDescent="0.2">
      <c r="A837">
        <v>2016</v>
      </c>
      <c r="B837" t="s">
        <v>430</v>
      </c>
      <c r="D837">
        <v>407</v>
      </c>
    </row>
    <row r="838" spans="1:4" hidden="1" x14ac:dyDescent="0.2">
      <c r="A838">
        <v>2016</v>
      </c>
      <c r="B838" t="s">
        <v>431</v>
      </c>
      <c r="D838">
        <v>662</v>
      </c>
    </row>
    <row r="839" spans="1:4" hidden="1" x14ac:dyDescent="0.2">
      <c r="A839">
        <v>2016</v>
      </c>
      <c r="B839" t="s">
        <v>432</v>
      </c>
      <c r="D839">
        <v>15063</v>
      </c>
    </row>
    <row r="840" spans="1:4" hidden="1" x14ac:dyDescent="0.2">
      <c r="A840">
        <v>2016</v>
      </c>
      <c r="B840" t="s">
        <v>433</v>
      </c>
      <c r="D840">
        <v>6</v>
      </c>
    </row>
    <row r="841" spans="1:4" hidden="1" x14ac:dyDescent="0.2">
      <c r="A841">
        <v>2016</v>
      </c>
      <c r="B841" t="s">
        <v>434</v>
      </c>
      <c r="D841">
        <v>11693</v>
      </c>
    </row>
    <row r="842" spans="1:4" hidden="1" x14ac:dyDescent="0.2">
      <c r="A842">
        <v>2016</v>
      </c>
      <c r="B842" t="s">
        <v>442</v>
      </c>
      <c r="D842">
        <v>6</v>
      </c>
    </row>
    <row r="843" spans="1:4" hidden="1" x14ac:dyDescent="0.2">
      <c r="A843">
        <v>2016</v>
      </c>
      <c r="B843" t="s">
        <v>435</v>
      </c>
      <c r="D843">
        <v>141463</v>
      </c>
    </row>
    <row r="844" spans="1:4" hidden="1" x14ac:dyDescent="0.2">
      <c r="A844">
        <v>2016</v>
      </c>
      <c r="B844" t="s">
        <v>436</v>
      </c>
      <c r="D844">
        <v>35</v>
      </c>
    </row>
    <row r="845" spans="1:4" hidden="1" x14ac:dyDescent="0.2">
      <c r="A845">
        <v>2016</v>
      </c>
      <c r="B845" t="s">
        <v>437</v>
      </c>
      <c r="D845">
        <v>26470</v>
      </c>
    </row>
    <row r="846" spans="1:4" hidden="1" x14ac:dyDescent="0.2">
      <c r="A846">
        <v>2016</v>
      </c>
      <c r="B846" t="s">
        <v>438</v>
      </c>
      <c r="D846">
        <v>9961</v>
      </c>
    </row>
    <row r="847" spans="1:4" hidden="1" x14ac:dyDescent="0.2">
      <c r="A847">
        <v>2016</v>
      </c>
      <c r="B847" t="s">
        <v>449</v>
      </c>
      <c r="D847">
        <v>52</v>
      </c>
    </row>
    <row r="848" spans="1:4" hidden="1" x14ac:dyDescent="0.2">
      <c r="A848">
        <v>2016</v>
      </c>
      <c r="B848" t="s">
        <v>450</v>
      </c>
      <c r="D848">
        <v>48</v>
      </c>
    </row>
    <row r="849" spans="1:4" hidden="1" x14ac:dyDescent="0.2">
      <c r="A849">
        <v>2016</v>
      </c>
      <c r="B849" t="s">
        <v>459</v>
      </c>
      <c r="D849">
        <v>81</v>
      </c>
    </row>
    <row r="850" spans="1:4" hidden="1" x14ac:dyDescent="0.2">
      <c r="A850">
        <v>2017</v>
      </c>
      <c r="B850" t="s">
        <v>379</v>
      </c>
      <c r="D850">
        <v>608</v>
      </c>
    </row>
    <row r="851" spans="1:4" hidden="1" x14ac:dyDescent="0.2">
      <c r="A851">
        <v>2017</v>
      </c>
      <c r="B851" t="s">
        <v>456</v>
      </c>
      <c r="D851">
        <v>54</v>
      </c>
    </row>
    <row r="852" spans="1:4" hidden="1" x14ac:dyDescent="0.2">
      <c r="A852">
        <v>2017</v>
      </c>
      <c r="B852" t="s">
        <v>380</v>
      </c>
      <c r="D852">
        <v>196</v>
      </c>
    </row>
    <row r="853" spans="1:4" hidden="1" x14ac:dyDescent="0.2">
      <c r="A853">
        <v>2017</v>
      </c>
      <c r="B853" t="s">
        <v>381</v>
      </c>
      <c r="D853">
        <v>19007</v>
      </c>
    </row>
    <row r="854" spans="1:4" hidden="1" x14ac:dyDescent="0.2">
      <c r="A854">
        <v>2017</v>
      </c>
      <c r="B854" t="s">
        <v>382</v>
      </c>
      <c r="D854">
        <v>148</v>
      </c>
    </row>
    <row r="855" spans="1:4" hidden="1" x14ac:dyDescent="0.2">
      <c r="A855">
        <v>2017</v>
      </c>
      <c r="B855" t="s">
        <v>383</v>
      </c>
      <c r="D855">
        <v>43535</v>
      </c>
    </row>
    <row r="856" spans="1:4" hidden="1" x14ac:dyDescent="0.2">
      <c r="A856">
        <v>2017</v>
      </c>
      <c r="B856" t="s">
        <v>384</v>
      </c>
      <c r="D856">
        <v>694</v>
      </c>
    </row>
    <row r="857" spans="1:4" hidden="1" x14ac:dyDescent="0.2">
      <c r="A857">
        <v>2017</v>
      </c>
      <c r="B857" t="s">
        <v>460</v>
      </c>
      <c r="D857">
        <v>235</v>
      </c>
    </row>
    <row r="858" spans="1:4" hidden="1" x14ac:dyDescent="0.2">
      <c r="A858">
        <v>2017</v>
      </c>
      <c r="B858" t="s">
        <v>458</v>
      </c>
      <c r="D858">
        <v>70</v>
      </c>
    </row>
    <row r="859" spans="1:4" hidden="1" x14ac:dyDescent="0.2">
      <c r="A859">
        <v>2017</v>
      </c>
      <c r="B859" t="s">
        <v>446</v>
      </c>
      <c r="D859">
        <v>46</v>
      </c>
    </row>
    <row r="860" spans="1:4" hidden="1" x14ac:dyDescent="0.2">
      <c r="A860">
        <v>2017</v>
      </c>
      <c r="B860" t="s">
        <v>439</v>
      </c>
      <c r="D860">
        <v>813</v>
      </c>
    </row>
    <row r="861" spans="1:4" hidden="1" x14ac:dyDescent="0.2">
      <c r="A861">
        <v>2017</v>
      </c>
      <c r="B861" t="s">
        <v>386</v>
      </c>
      <c r="D861">
        <v>7197</v>
      </c>
    </row>
    <row r="862" spans="1:4" hidden="1" x14ac:dyDescent="0.2">
      <c r="A862">
        <v>2017</v>
      </c>
      <c r="B862" t="s">
        <v>387</v>
      </c>
      <c r="D862">
        <v>220</v>
      </c>
    </row>
    <row r="863" spans="1:4" hidden="1" x14ac:dyDescent="0.2">
      <c r="A863">
        <v>2017</v>
      </c>
      <c r="B863" t="s">
        <v>388</v>
      </c>
      <c r="D863">
        <v>4068</v>
      </c>
    </row>
    <row r="864" spans="1:4" hidden="1" x14ac:dyDescent="0.2">
      <c r="A864">
        <v>2017</v>
      </c>
      <c r="B864" t="s">
        <v>390</v>
      </c>
      <c r="D864">
        <v>1464</v>
      </c>
    </row>
    <row r="865" spans="1:4" hidden="1" x14ac:dyDescent="0.2">
      <c r="A865">
        <v>2017</v>
      </c>
      <c r="B865" t="s">
        <v>391</v>
      </c>
      <c r="D865">
        <v>20</v>
      </c>
    </row>
    <row r="866" spans="1:4" hidden="1" x14ac:dyDescent="0.2">
      <c r="A866">
        <v>2017</v>
      </c>
      <c r="B866" t="s">
        <v>392</v>
      </c>
      <c r="D866">
        <v>9</v>
      </c>
    </row>
    <row r="867" spans="1:4" hidden="1" x14ac:dyDescent="0.2">
      <c r="A867">
        <v>2017</v>
      </c>
      <c r="B867" t="s">
        <v>440</v>
      </c>
      <c r="D867">
        <v>11</v>
      </c>
    </row>
    <row r="868" spans="1:4" hidden="1" x14ac:dyDescent="0.2">
      <c r="A868">
        <v>2017</v>
      </c>
      <c r="B868" t="s">
        <v>443</v>
      </c>
      <c r="D868">
        <v>60</v>
      </c>
    </row>
    <row r="869" spans="1:4" hidden="1" x14ac:dyDescent="0.2">
      <c r="A869">
        <v>2017</v>
      </c>
      <c r="B869" t="s">
        <v>393</v>
      </c>
      <c r="D869">
        <v>625</v>
      </c>
    </row>
    <row r="870" spans="1:4" hidden="1" x14ac:dyDescent="0.2">
      <c r="A870">
        <v>2017</v>
      </c>
      <c r="B870" t="s">
        <v>394</v>
      </c>
      <c r="D870">
        <v>1084</v>
      </c>
    </row>
    <row r="871" spans="1:4" hidden="1" x14ac:dyDescent="0.2">
      <c r="A871">
        <v>2017</v>
      </c>
      <c r="B871" t="s">
        <v>395</v>
      </c>
      <c r="D871">
        <v>3089</v>
      </c>
    </row>
    <row r="872" spans="1:4" hidden="1" x14ac:dyDescent="0.2">
      <c r="A872">
        <v>2017</v>
      </c>
      <c r="B872" t="s">
        <v>452</v>
      </c>
      <c r="D872">
        <v>6</v>
      </c>
    </row>
    <row r="873" spans="1:4" hidden="1" x14ac:dyDescent="0.2">
      <c r="A873">
        <v>2017</v>
      </c>
      <c r="B873" t="s">
        <v>441</v>
      </c>
      <c r="D873">
        <v>177</v>
      </c>
    </row>
    <row r="874" spans="1:4" hidden="1" x14ac:dyDescent="0.2">
      <c r="A874">
        <v>2017</v>
      </c>
      <c r="B874" t="s">
        <v>444</v>
      </c>
      <c r="D874">
        <v>127</v>
      </c>
    </row>
    <row r="875" spans="1:4" hidden="1" x14ac:dyDescent="0.2">
      <c r="A875">
        <v>2017</v>
      </c>
      <c r="B875" t="s">
        <v>397</v>
      </c>
      <c r="D875">
        <v>94942</v>
      </c>
    </row>
    <row r="876" spans="1:4" hidden="1" x14ac:dyDescent="0.2">
      <c r="A876">
        <v>2017</v>
      </c>
      <c r="B876" t="s">
        <v>451</v>
      </c>
      <c r="D876">
        <v>23</v>
      </c>
    </row>
    <row r="877" spans="1:4" hidden="1" x14ac:dyDescent="0.2">
      <c r="A877">
        <v>2017</v>
      </c>
      <c r="B877" t="s">
        <v>398</v>
      </c>
      <c r="D877">
        <v>27711</v>
      </c>
    </row>
    <row r="878" spans="1:4" hidden="1" x14ac:dyDescent="0.2">
      <c r="A878">
        <v>2017</v>
      </c>
      <c r="B878" t="s">
        <v>453</v>
      </c>
      <c r="D878">
        <v>1038</v>
      </c>
    </row>
    <row r="879" spans="1:4" hidden="1" x14ac:dyDescent="0.2">
      <c r="A879">
        <v>2017</v>
      </c>
      <c r="B879" t="s">
        <v>400</v>
      </c>
      <c r="D879">
        <v>3901</v>
      </c>
    </row>
    <row r="880" spans="1:4" hidden="1" x14ac:dyDescent="0.2">
      <c r="A880">
        <v>2017</v>
      </c>
      <c r="B880" t="s">
        <v>401</v>
      </c>
      <c r="D880">
        <v>231</v>
      </c>
    </row>
    <row r="881" spans="1:4" hidden="1" x14ac:dyDescent="0.2">
      <c r="A881">
        <v>2017</v>
      </c>
      <c r="B881" t="s">
        <v>402</v>
      </c>
      <c r="D881">
        <v>20683</v>
      </c>
    </row>
    <row r="882" spans="1:4" hidden="1" x14ac:dyDescent="0.2">
      <c r="A882">
        <v>2017</v>
      </c>
      <c r="B882" t="s">
        <v>403</v>
      </c>
      <c r="D882">
        <v>272</v>
      </c>
    </row>
    <row r="883" spans="1:4" hidden="1" x14ac:dyDescent="0.2">
      <c r="A883">
        <v>2017</v>
      </c>
      <c r="B883" t="s">
        <v>404</v>
      </c>
      <c r="D883">
        <v>8</v>
      </c>
    </row>
    <row r="884" spans="1:4" hidden="1" x14ac:dyDescent="0.2">
      <c r="A884">
        <v>2017</v>
      </c>
      <c r="B884" t="s">
        <v>405</v>
      </c>
      <c r="D884">
        <v>2717</v>
      </c>
    </row>
    <row r="885" spans="1:4" hidden="1" x14ac:dyDescent="0.2">
      <c r="A885">
        <v>2017</v>
      </c>
      <c r="B885" t="s">
        <v>406</v>
      </c>
      <c r="D885">
        <v>115</v>
      </c>
    </row>
    <row r="886" spans="1:4" hidden="1" x14ac:dyDescent="0.2">
      <c r="A886">
        <v>2017</v>
      </c>
      <c r="B886" t="s">
        <v>407</v>
      </c>
      <c r="D886">
        <v>124</v>
      </c>
    </row>
    <row r="887" spans="1:4" hidden="1" x14ac:dyDescent="0.2">
      <c r="A887">
        <v>2017</v>
      </c>
      <c r="B887" t="s">
        <v>408</v>
      </c>
      <c r="D887">
        <v>778</v>
      </c>
    </row>
    <row r="888" spans="1:4" hidden="1" x14ac:dyDescent="0.2">
      <c r="A888">
        <v>2017</v>
      </c>
      <c r="B888" t="s">
        <v>409</v>
      </c>
      <c r="D888">
        <v>31969</v>
      </c>
    </row>
    <row r="889" spans="1:4" hidden="1" x14ac:dyDescent="0.2">
      <c r="A889">
        <v>2017</v>
      </c>
      <c r="B889" t="s">
        <v>455</v>
      </c>
      <c r="D889">
        <v>82</v>
      </c>
    </row>
    <row r="890" spans="1:4" hidden="1" x14ac:dyDescent="0.2">
      <c r="A890">
        <v>2017</v>
      </c>
      <c r="B890" t="s">
        <v>410</v>
      </c>
      <c r="D890">
        <v>53136</v>
      </c>
    </row>
    <row r="891" spans="1:4" hidden="1" x14ac:dyDescent="0.2">
      <c r="A891">
        <v>2017</v>
      </c>
      <c r="B891" t="s">
        <v>412</v>
      </c>
      <c r="D891">
        <v>3088</v>
      </c>
    </row>
    <row r="892" spans="1:4" hidden="1" x14ac:dyDescent="0.2">
      <c r="A892">
        <v>2017</v>
      </c>
      <c r="B892" t="s">
        <v>413</v>
      </c>
      <c r="D892">
        <v>5</v>
      </c>
    </row>
    <row r="893" spans="1:4" hidden="1" x14ac:dyDescent="0.2">
      <c r="A893">
        <v>2017</v>
      </c>
      <c r="B893" t="s">
        <v>414</v>
      </c>
      <c r="D893">
        <v>23986</v>
      </c>
    </row>
    <row r="894" spans="1:4" hidden="1" x14ac:dyDescent="0.2">
      <c r="A894">
        <v>2017</v>
      </c>
      <c r="B894" t="s">
        <v>445</v>
      </c>
      <c r="D894">
        <v>37</v>
      </c>
    </row>
    <row r="895" spans="1:4" hidden="1" x14ac:dyDescent="0.2">
      <c r="A895">
        <v>2017</v>
      </c>
      <c r="B895" t="s">
        <v>415</v>
      </c>
      <c r="D895">
        <v>11</v>
      </c>
    </row>
    <row r="896" spans="1:4" hidden="1" x14ac:dyDescent="0.2">
      <c r="A896">
        <v>2017</v>
      </c>
      <c r="B896" t="s">
        <v>416</v>
      </c>
      <c r="D896">
        <v>94</v>
      </c>
    </row>
    <row r="897" spans="1:4" hidden="1" x14ac:dyDescent="0.2">
      <c r="A897">
        <v>2017</v>
      </c>
      <c r="B897" t="s">
        <v>448</v>
      </c>
      <c r="D897">
        <v>22</v>
      </c>
    </row>
    <row r="898" spans="1:4" hidden="1" x14ac:dyDescent="0.2">
      <c r="A898">
        <v>2017</v>
      </c>
      <c r="B898" t="s">
        <v>417</v>
      </c>
      <c r="D898">
        <v>40045</v>
      </c>
    </row>
    <row r="899" spans="1:4" hidden="1" x14ac:dyDescent="0.2">
      <c r="A899">
        <v>2017</v>
      </c>
      <c r="B899" t="s">
        <v>418</v>
      </c>
      <c r="D899">
        <v>2022</v>
      </c>
    </row>
    <row r="900" spans="1:4" hidden="1" x14ac:dyDescent="0.2">
      <c r="A900">
        <v>2017</v>
      </c>
      <c r="B900" t="s">
        <v>420</v>
      </c>
      <c r="D900">
        <v>7</v>
      </c>
    </row>
    <row r="901" spans="1:4" hidden="1" x14ac:dyDescent="0.2">
      <c r="A901">
        <v>2017</v>
      </c>
      <c r="B901" t="s">
        <v>421</v>
      </c>
      <c r="D901">
        <v>1275</v>
      </c>
    </row>
    <row r="902" spans="1:4" hidden="1" x14ac:dyDescent="0.2">
      <c r="A902">
        <v>2017</v>
      </c>
      <c r="B902" t="s">
        <v>422</v>
      </c>
      <c r="D902">
        <v>4210</v>
      </c>
    </row>
    <row r="903" spans="1:4" hidden="1" x14ac:dyDescent="0.2">
      <c r="A903">
        <v>2017</v>
      </c>
      <c r="B903" t="s">
        <v>423</v>
      </c>
      <c r="D903">
        <v>5339</v>
      </c>
    </row>
    <row r="904" spans="1:4" hidden="1" x14ac:dyDescent="0.2">
      <c r="A904">
        <v>2017</v>
      </c>
      <c r="B904" t="s">
        <v>424</v>
      </c>
      <c r="D904">
        <v>1416</v>
      </c>
    </row>
    <row r="905" spans="1:4" hidden="1" x14ac:dyDescent="0.2">
      <c r="A905">
        <v>2017</v>
      </c>
      <c r="B905" t="s">
        <v>425</v>
      </c>
      <c r="D905">
        <v>2842</v>
      </c>
    </row>
    <row r="906" spans="1:4" hidden="1" x14ac:dyDescent="0.2">
      <c r="A906">
        <v>2017</v>
      </c>
      <c r="B906" t="s">
        <v>426</v>
      </c>
      <c r="D906">
        <v>371</v>
      </c>
    </row>
    <row r="907" spans="1:4" hidden="1" x14ac:dyDescent="0.2">
      <c r="A907">
        <v>2017</v>
      </c>
      <c r="B907" t="s">
        <v>427</v>
      </c>
      <c r="D907">
        <v>14</v>
      </c>
    </row>
    <row r="908" spans="1:4" hidden="1" x14ac:dyDescent="0.2">
      <c r="A908">
        <v>2017</v>
      </c>
      <c r="B908" t="s">
        <v>428</v>
      </c>
      <c r="D908">
        <v>302</v>
      </c>
    </row>
    <row r="909" spans="1:4" hidden="1" x14ac:dyDescent="0.2">
      <c r="A909">
        <v>2017</v>
      </c>
      <c r="B909" t="s">
        <v>429</v>
      </c>
      <c r="D909">
        <v>215</v>
      </c>
    </row>
    <row r="910" spans="1:4" hidden="1" x14ac:dyDescent="0.2">
      <c r="A910">
        <v>2017</v>
      </c>
      <c r="B910" t="s">
        <v>457</v>
      </c>
      <c r="D910">
        <v>5</v>
      </c>
    </row>
    <row r="911" spans="1:4" hidden="1" x14ac:dyDescent="0.2">
      <c r="A911">
        <v>2017</v>
      </c>
      <c r="B911" t="s">
        <v>430</v>
      </c>
      <c r="D911">
        <v>351</v>
      </c>
    </row>
    <row r="912" spans="1:4" hidden="1" x14ac:dyDescent="0.2">
      <c r="A912">
        <v>2017</v>
      </c>
      <c r="B912" t="s">
        <v>431</v>
      </c>
      <c r="D912">
        <v>962</v>
      </c>
    </row>
    <row r="913" spans="1:4" hidden="1" x14ac:dyDescent="0.2">
      <c r="A913">
        <v>2017</v>
      </c>
      <c r="B913" t="s">
        <v>432</v>
      </c>
      <c r="D913">
        <v>15313</v>
      </c>
    </row>
    <row r="914" spans="1:4" hidden="1" x14ac:dyDescent="0.2">
      <c r="A914">
        <v>2017</v>
      </c>
      <c r="B914" t="s">
        <v>433</v>
      </c>
      <c r="D914">
        <v>6</v>
      </c>
    </row>
    <row r="915" spans="1:4" hidden="1" x14ac:dyDescent="0.2">
      <c r="A915">
        <v>2017</v>
      </c>
      <c r="B915" t="s">
        <v>434</v>
      </c>
      <c r="D915">
        <v>9095</v>
      </c>
    </row>
    <row r="916" spans="1:4" hidden="1" x14ac:dyDescent="0.2">
      <c r="A916">
        <v>2017</v>
      </c>
      <c r="B916" t="s">
        <v>442</v>
      </c>
      <c r="D916">
        <v>6</v>
      </c>
    </row>
    <row r="917" spans="1:4" hidden="1" x14ac:dyDescent="0.2">
      <c r="A917">
        <v>2017</v>
      </c>
      <c r="B917" t="s">
        <v>435</v>
      </c>
      <c r="D917">
        <v>144071</v>
      </c>
    </row>
    <row r="918" spans="1:4" hidden="1" x14ac:dyDescent="0.2">
      <c r="A918">
        <v>2017</v>
      </c>
      <c r="B918" t="s">
        <v>436</v>
      </c>
      <c r="D918">
        <v>38</v>
      </c>
    </row>
    <row r="919" spans="1:4" hidden="1" x14ac:dyDescent="0.2">
      <c r="A919">
        <v>2017</v>
      </c>
      <c r="B919" t="s">
        <v>437</v>
      </c>
      <c r="D919">
        <v>27644</v>
      </c>
    </row>
    <row r="920" spans="1:4" hidden="1" x14ac:dyDescent="0.2">
      <c r="A920">
        <v>2017</v>
      </c>
      <c r="B920" t="s">
        <v>438</v>
      </c>
      <c r="D920">
        <v>10539</v>
      </c>
    </row>
    <row r="921" spans="1:4" hidden="1" x14ac:dyDescent="0.2">
      <c r="A921">
        <v>2017</v>
      </c>
      <c r="B921" t="s">
        <v>449</v>
      </c>
      <c r="D921">
        <v>41</v>
      </c>
    </row>
    <row r="922" spans="1:4" hidden="1" x14ac:dyDescent="0.2">
      <c r="A922">
        <v>2017</v>
      </c>
      <c r="B922" t="s">
        <v>450</v>
      </c>
      <c r="D922">
        <v>43</v>
      </c>
    </row>
    <row r="923" spans="1:4" hidden="1" x14ac:dyDescent="0.2">
      <c r="A923">
        <v>2017</v>
      </c>
      <c r="B923" t="s">
        <v>459</v>
      </c>
      <c r="D923">
        <v>81</v>
      </c>
    </row>
    <row r="924" spans="1:4" hidden="1" x14ac:dyDescent="0.2">
      <c r="A924">
        <v>2018</v>
      </c>
      <c r="B924" t="s">
        <v>379</v>
      </c>
      <c r="D924">
        <v>535</v>
      </c>
    </row>
    <row r="925" spans="1:4" hidden="1" x14ac:dyDescent="0.2">
      <c r="A925">
        <v>2018</v>
      </c>
      <c r="B925" t="s">
        <v>456</v>
      </c>
      <c r="D925">
        <v>62</v>
      </c>
    </row>
    <row r="926" spans="1:4" hidden="1" x14ac:dyDescent="0.2">
      <c r="A926">
        <v>2018</v>
      </c>
      <c r="B926" t="s">
        <v>380</v>
      </c>
      <c r="D926">
        <v>213</v>
      </c>
    </row>
    <row r="927" spans="1:4" hidden="1" x14ac:dyDescent="0.2">
      <c r="A927">
        <v>2018</v>
      </c>
      <c r="B927" t="s">
        <v>381</v>
      </c>
      <c r="D927">
        <v>20205</v>
      </c>
    </row>
    <row r="928" spans="1:4" hidden="1" x14ac:dyDescent="0.2">
      <c r="A928">
        <v>2018</v>
      </c>
      <c r="B928" t="s">
        <v>382</v>
      </c>
      <c r="D928">
        <v>147</v>
      </c>
    </row>
    <row r="929" spans="1:4" hidden="1" x14ac:dyDescent="0.2">
      <c r="A929">
        <v>2018</v>
      </c>
      <c r="B929" t="s">
        <v>383</v>
      </c>
      <c r="D929">
        <v>44517</v>
      </c>
    </row>
    <row r="930" spans="1:4" hidden="1" x14ac:dyDescent="0.2">
      <c r="A930">
        <v>2018</v>
      </c>
      <c r="B930" t="s">
        <v>384</v>
      </c>
      <c r="D930">
        <v>724</v>
      </c>
    </row>
    <row r="931" spans="1:4" hidden="1" x14ac:dyDescent="0.2">
      <c r="A931">
        <v>2018</v>
      </c>
      <c r="B931" t="s">
        <v>460</v>
      </c>
      <c r="D931">
        <v>415</v>
      </c>
    </row>
    <row r="932" spans="1:4" hidden="1" x14ac:dyDescent="0.2">
      <c r="A932">
        <v>2018</v>
      </c>
      <c r="B932" t="s">
        <v>458</v>
      </c>
      <c r="D932">
        <v>102</v>
      </c>
    </row>
    <row r="933" spans="1:4" hidden="1" x14ac:dyDescent="0.2">
      <c r="A933">
        <v>2018</v>
      </c>
      <c r="B933" t="s">
        <v>446</v>
      </c>
      <c r="D933">
        <v>11</v>
      </c>
    </row>
    <row r="934" spans="1:4" hidden="1" x14ac:dyDescent="0.2">
      <c r="A934">
        <v>2018</v>
      </c>
      <c r="B934" t="s">
        <v>439</v>
      </c>
      <c r="D934">
        <v>341</v>
      </c>
    </row>
    <row r="935" spans="1:4" hidden="1" x14ac:dyDescent="0.2">
      <c r="A935">
        <v>2018</v>
      </c>
      <c r="B935" t="s">
        <v>386</v>
      </c>
      <c r="D935">
        <v>5562</v>
      </c>
    </row>
    <row r="936" spans="1:4" hidden="1" x14ac:dyDescent="0.2">
      <c r="A936">
        <v>2018</v>
      </c>
      <c r="B936" t="s">
        <v>387</v>
      </c>
      <c r="D936">
        <v>141</v>
      </c>
    </row>
    <row r="937" spans="1:4" hidden="1" x14ac:dyDescent="0.2">
      <c r="A937">
        <v>2018</v>
      </c>
      <c r="B937" t="s">
        <v>388</v>
      </c>
      <c r="D937">
        <v>3776</v>
      </c>
    </row>
    <row r="938" spans="1:4" hidden="1" x14ac:dyDescent="0.2">
      <c r="A938">
        <v>2018</v>
      </c>
      <c r="B938" t="s">
        <v>389</v>
      </c>
    </row>
    <row r="939" spans="1:4" hidden="1" x14ac:dyDescent="0.2">
      <c r="A939">
        <v>2018</v>
      </c>
      <c r="B939" t="s">
        <v>390</v>
      </c>
      <c r="D939">
        <v>1046</v>
      </c>
    </row>
    <row r="940" spans="1:4" hidden="1" x14ac:dyDescent="0.2">
      <c r="A940">
        <v>2018</v>
      </c>
      <c r="B940" t="s">
        <v>391</v>
      </c>
      <c r="D940">
        <v>20</v>
      </c>
    </row>
    <row r="941" spans="1:4" hidden="1" x14ac:dyDescent="0.2">
      <c r="A941">
        <v>2018</v>
      </c>
      <c r="B941" t="s">
        <v>392</v>
      </c>
      <c r="D941">
        <v>15</v>
      </c>
    </row>
    <row r="942" spans="1:4" hidden="1" x14ac:dyDescent="0.2">
      <c r="A942">
        <v>2018</v>
      </c>
      <c r="B942" t="s">
        <v>440</v>
      </c>
    </row>
    <row r="943" spans="1:4" hidden="1" x14ac:dyDescent="0.2">
      <c r="A943">
        <v>2018</v>
      </c>
      <c r="B943" t="s">
        <v>443</v>
      </c>
      <c r="D943">
        <v>27</v>
      </c>
    </row>
    <row r="944" spans="1:4" hidden="1" x14ac:dyDescent="0.2">
      <c r="A944">
        <v>2018</v>
      </c>
      <c r="B944" t="s">
        <v>393</v>
      </c>
      <c r="D944">
        <v>643</v>
      </c>
    </row>
    <row r="945" spans="1:4" hidden="1" x14ac:dyDescent="0.2">
      <c r="A945">
        <v>2018</v>
      </c>
      <c r="B945" t="s">
        <v>394</v>
      </c>
      <c r="D945">
        <v>701</v>
      </c>
    </row>
    <row r="946" spans="1:4" hidden="1" x14ac:dyDescent="0.2">
      <c r="A946">
        <v>2018</v>
      </c>
      <c r="B946" t="s">
        <v>395</v>
      </c>
      <c r="D946">
        <v>2731</v>
      </c>
    </row>
    <row r="947" spans="1:4" hidden="1" x14ac:dyDescent="0.2">
      <c r="A947">
        <v>2018</v>
      </c>
      <c r="B947" t="s">
        <v>452</v>
      </c>
    </row>
    <row r="948" spans="1:4" hidden="1" x14ac:dyDescent="0.2">
      <c r="A948">
        <v>2018</v>
      </c>
      <c r="B948" t="s">
        <v>441</v>
      </c>
      <c r="D948">
        <v>55</v>
      </c>
    </row>
    <row r="949" spans="1:4" hidden="1" x14ac:dyDescent="0.2">
      <c r="A949">
        <v>2018</v>
      </c>
      <c r="B949" t="s">
        <v>447</v>
      </c>
    </row>
    <row r="950" spans="1:4" hidden="1" x14ac:dyDescent="0.2">
      <c r="A950">
        <v>2018</v>
      </c>
      <c r="B950" t="s">
        <v>444</v>
      </c>
      <c r="D950">
        <v>26</v>
      </c>
    </row>
    <row r="951" spans="1:4" hidden="1" x14ac:dyDescent="0.2">
      <c r="A951">
        <v>2018</v>
      </c>
      <c r="B951" t="s">
        <v>396</v>
      </c>
    </row>
    <row r="952" spans="1:4" hidden="1" x14ac:dyDescent="0.2">
      <c r="A952">
        <v>2018</v>
      </c>
      <c r="B952" t="s">
        <v>397</v>
      </c>
      <c r="D952">
        <v>96201</v>
      </c>
    </row>
    <row r="953" spans="1:4" hidden="1" x14ac:dyDescent="0.2">
      <c r="A953">
        <v>2018</v>
      </c>
      <c r="B953" t="s">
        <v>451</v>
      </c>
      <c r="D953">
        <v>23</v>
      </c>
    </row>
    <row r="954" spans="1:4" hidden="1" x14ac:dyDescent="0.2">
      <c r="A954">
        <v>2018</v>
      </c>
      <c r="B954" t="s">
        <v>398</v>
      </c>
      <c r="D954">
        <v>30445</v>
      </c>
    </row>
    <row r="955" spans="1:4" hidden="1" x14ac:dyDescent="0.2">
      <c r="A955">
        <v>2018</v>
      </c>
      <c r="B955" t="s">
        <v>453</v>
      </c>
      <c r="D955">
        <v>1228</v>
      </c>
    </row>
    <row r="956" spans="1:4" hidden="1" x14ac:dyDescent="0.2">
      <c r="A956">
        <v>2018</v>
      </c>
      <c r="B956" t="s">
        <v>399</v>
      </c>
    </row>
    <row r="957" spans="1:4" hidden="1" x14ac:dyDescent="0.2">
      <c r="A957">
        <v>2018</v>
      </c>
      <c r="B957" t="s">
        <v>400</v>
      </c>
      <c r="D957">
        <v>3817</v>
      </c>
    </row>
    <row r="958" spans="1:4" hidden="1" x14ac:dyDescent="0.2">
      <c r="A958">
        <v>2018</v>
      </c>
      <c r="B958" t="s">
        <v>401</v>
      </c>
      <c r="D958">
        <v>248</v>
      </c>
    </row>
    <row r="959" spans="1:4" hidden="1" x14ac:dyDescent="0.2">
      <c r="A959">
        <v>2018</v>
      </c>
      <c r="B959" t="s">
        <v>402</v>
      </c>
      <c r="D959">
        <v>22138</v>
      </c>
    </row>
    <row r="960" spans="1:4" hidden="1" x14ac:dyDescent="0.2">
      <c r="A960">
        <v>2018</v>
      </c>
      <c r="B960" t="s">
        <v>403</v>
      </c>
      <c r="D960">
        <v>295</v>
      </c>
    </row>
    <row r="961" spans="1:4" hidden="1" x14ac:dyDescent="0.2">
      <c r="A961">
        <v>2018</v>
      </c>
      <c r="B961" t="s">
        <v>404</v>
      </c>
      <c r="D961">
        <v>8</v>
      </c>
    </row>
    <row r="962" spans="1:4" hidden="1" x14ac:dyDescent="0.2">
      <c r="A962">
        <v>2018</v>
      </c>
      <c r="B962" t="s">
        <v>405</v>
      </c>
      <c r="D962">
        <v>2808</v>
      </c>
    </row>
    <row r="963" spans="1:4" hidden="1" x14ac:dyDescent="0.2">
      <c r="A963">
        <v>2018</v>
      </c>
      <c r="B963" t="s">
        <v>406</v>
      </c>
      <c r="D963">
        <v>114</v>
      </c>
    </row>
    <row r="964" spans="1:4" hidden="1" x14ac:dyDescent="0.2">
      <c r="A964">
        <v>2018</v>
      </c>
      <c r="B964" t="s">
        <v>407</v>
      </c>
      <c r="D964">
        <v>124</v>
      </c>
    </row>
    <row r="965" spans="1:4" hidden="1" x14ac:dyDescent="0.2">
      <c r="A965">
        <v>2018</v>
      </c>
      <c r="B965" t="s">
        <v>408</v>
      </c>
      <c r="D965">
        <v>865</v>
      </c>
    </row>
    <row r="966" spans="1:4" hidden="1" x14ac:dyDescent="0.2">
      <c r="A966">
        <v>2018</v>
      </c>
      <c r="B966" t="s">
        <v>461</v>
      </c>
      <c r="D966">
        <v>12</v>
      </c>
    </row>
    <row r="967" spans="1:4" hidden="1" x14ac:dyDescent="0.2">
      <c r="A967">
        <v>2018</v>
      </c>
      <c r="B967" t="s">
        <v>454</v>
      </c>
    </row>
    <row r="968" spans="1:4" hidden="1" x14ac:dyDescent="0.2">
      <c r="A968">
        <v>2018</v>
      </c>
      <c r="B968" t="s">
        <v>409</v>
      </c>
      <c r="D968">
        <v>34024</v>
      </c>
    </row>
    <row r="969" spans="1:4" hidden="1" x14ac:dyDescent="0.2">
      <c r="A969">
        <v>2018</v>
      </c>
      <c r="B969" t="s">
        <v>455</v>
      </c>
      <c r="D969">
        <v>101</v>
      </c>
    </row>
    <row r="970" spans="1:4" hidden="1" x14ac:dyDescent="0.2">
      <c r="A970">
        <v>2018</v>
      </c>
      <c r="B970" t="s">
        <v>410</v>
      </c>
      <c r="D970">
        <v>56726</v>
      </c>
    </row>
    <row r="971" spans="1:4" hidden="1" x14ac:dyDescent="0.2">
      <c r="A971">
        <v>2018</v>
      </c>
      <c r="B971" t="s">
        <v>411</v>
      </c>
    </row>
    <row r="972" spans="1:4" hidden="1" x14ac:dyDescent="0.2">
      <c r="A972">
        <v>2018</v>
      </c>
      <c r="B972" t="s">
        <v>412</v>
      </c>
      <c r="D972">
        <v>3421</v>
      </c>
    </row>
    <row r="973" spans="1:4" hidden="1" x14ac:dyDescent="0.2">
      <c r="A973">
        <v>2018</v>
      </c>
      <c r="B973" t="s">
        <v>413</v>
      </c>
      <c r="D973">
        <v>5</v>
      </c>
    </row>
    <row r="974" spans="1:4" hidden="1" x14ac:dyDescent="0.2">
      <c r="A974">
        <v>2018</v>
      </c>
      <c r="B974" t="s">
        <v>414</v>
      </c>
      <c r="D974">
        <v>20973</v>
      </c>
    </row>
    <row r="975" spans="1:4" hidden="1" x14ac:dyDescent="0.2">
      <c r="A975">
        <v>2018</v>
      </c>
      <c r="B975" t="s">
        <v>445</v>
      </c>
      <c r="D975">
        <v>36</v>
      </c>
    </row>
    <row r="976" spans="1:4" hidden="1" x14ac:dyDescent="0.2">
      <c r="A976">
        <v>2018</v>
      </c>
      <c r="B976" t="s">
        <v>415</v>
      </c>
      <c r="D976">
        <v>11</v>
      </c>
    </row>
    <row r="977" spans="1:4" hidden="1" x14ac:dyDescent="0.2">
      <c r="A977">
        <v>2018</v>
      </c>
      <c r="B977" t="s">
        <v>416</v>
      </c>
      <c r="D977">
        <v>93</v>
      </c>
    </row>
    <row r="978" spans="1:4" hidden="1" x14ac:dyDescent="0.2">
      <c r="A978">
        <v>2018</v>
      </c>
      <c r="B978" t="s">
        <v>448</v>
      </c>
      <c r="D978">
        <v>5</v>
      </c>
    </row>
    <row r="979" spans="1:4" hidden="1" x14ac:dyDescent="0.2">
      <c r="A979">
        <v>2018</v>
      </c>
      <c r="B979" t="s">
        <v>417</v>
      </c>
      <c r="D979">
        <v>37620</v>
      </c>
    </row>
    <row r="980" spans="1:4" hidden="1" x14ac:dyDescent="0.2">
      <c r="A980">
        <v>2018</v>
      </c>
      <c r="B980" t="s">
        <v>418</v>
      </c>
      <c r="D980">
        <v>2005</v>
      </c>
    </row>
    <row r="981" spans="1:4" hidden="1" x14ac:dyDescent="0.2">
      <c r="A981">
        <v>2018</v>
      </c>
      <c r="B981" t="s">
        <v>420</v>
      </c>
      <c r="D981">
        <v>7</v>
      </c>
    </row>
    <row r="982" spans="1:4" hidden="1" x14ac:dyDescent="0.2">
      <c r="A982">
        <v>2018</v>
      </c>
      <c r="B982" t="s">
        <v>421</v>
      </c>
      <c r="D982">
        <v>943</v>
      </c>
    </row>
    <row r="983" spans="1:4" hidden="1" x14ac:dyDescent="0.2">
      <c r="A983">
        <v>2018</v>
      </c>
      <c r="B983" t="s">
        <v>422</v>
      </c>
      <c r="D983">
        <v>4132</v>
      </c>
    </row>
    <row r="984" spans="1:4" hidden="1" x14ac:dyDescent="0.2">
      <c r="A984">
        <v>2018</v>
      </c>
      <c r="B984" t="s">
        <v>423</v>
      </c>
      <c r="D984">
        <v>5816</v>
      </c>
    </row>
    <row r="985" spans="1:4" hidden="1" x14ac:dyDescent="0.2">
      <c r="A985">
        <v>2018</v>
      </c>
      <c r="B985" t="s">
        <v>424</v>
      </c>
      <c r="D985">
        <v>1023</v>
      </c>
    </row>
    <row r="986" spans="1:4" hidden="1" x14ac:dyDescent="0.2">
      <c r="A986">
        <v>2018</v>
      </c>
      <c r="B986" t="s">
        <v>425</v>
      </c>
      <c r="D986">
        <v>3163</v>
      </c>
    </row>
    <row r="987" spans="1:4" hidden="1" x14ac:dyDescent="0.2">
      <c r="A987">
        <v>2018</v>
      </c>
      <c r="B987" t="s">
        <v>426</v>
      </c>
      <c r="D987">
        <v>400</v>
      </c>
    </row>
    <row r="988" spans="1:4" hidden="1" x14ac:dyDescent="0.2">
      <c r="A988">
        <v>2018</v>
      </c>
      <c r="B988" t="s">
        <v>427</v>
      </c>
      <c r="D988">
        <v>14</v>
      </c>
    </row>
    <row r="989" spans="1:4" hidden="1" x14ac:dyDescent="0.2">
      <c r="A989">
        <v>2018</v>
      </c>
      <c r="B989" t="s">
        <v>428</v>
      </c>
      <c r="D989">
        <v>198</v>
      </c>
    </row>
    <row r="990" spans="1:4" hidden="1" x14ac:dyDescent="0.2">
      <c r="A990">
        <v>2018</v>
      </c>
      <c r="B990" t="s">
        <v>429</v>
      </c>
      <c r="D990">
        <v>430</v>
      </c>
    </row>
    <row r="991" spans="1:4" hidden="1" x14ac:dyDescent="0.2">
      <c r="A991">
        <v>2018</v>
      </c>
      <c r="B991" t="s">
        <v>457</v>
      </c>
      <c r="D991">
        <v>5</v>
      </c>
    </row>
    <row r="992" spans="1:4" hidden="1" x14ac:dyDescent="0.2">
      <c r="A992">
        <v>2018</v>
      </c>
      <c r="B992" t="s">
        <v>430</v>
      </c>
      <c r="D992">
        <v>717</v>
      </c>
    </row>
    <row r="993" spans="1:4" hidden="1" x14ac:dyDescent="0.2">
      <c r="A993">
        <v>2018</v>
      </c>
      <c r="B993" t="s">
        <v>462</v>
      </c>
      <c r="D993">
        <v>8</v>
      </c>
    </row>
    <row r="994" spans="1:4" hidden="1" x14ac:dyDescent="0.2">
      <c r="A994">
        <v>2018</v>
      </c>
      <c r="B994" t="s">
        <v>431</v>
      </c>
      <c r="D994">
        <v>880</v>
      </c>
    </row>
    <row r="995" spans="1:4" hidden="1" x14ac:dyDescent="0.2">
      <c r="A995">
        <v>2018</v>
      </c>
      <c r="B995" t="s">
        <v>432</v>
      </c>
      <c r="D995">
        <v>15730</v>
      </c>
    </row>
    <row r="996" spans="1:4" hidden="1" x14ac:dyDescent="0.2">
      <c r="A996">
        <v>2018</v>
      </c>
      <c r="B996" t="s">
        <v>433</v>
      </c>
      <c r="D996">
        <v>5</v>
      </c>
    </row>
    <row r="997" spans="1:4" hidden="1" x14ac:dyDescent="0.2">
      <c r="A997">
        <v>2018</v>
      </c>
      <c r="B997" t="s">
        <v>434</v>
      </c>
      <c r="D997">
        <v>7052</v>
      </c>
    </row>
    <row r="998" spans="1:4" hidden="1" x14ac:dyDescent="0.2">
      <c r="A998">
        <v>2018</v>
      </c>
      <c r="B998" t="s">
        <v>442</v>
      </c>
      <c r="D998">
        <v>6</v>
      </c>
    </row>
    <row r="999" spans="1:4" hidden="1" x14ac:dyDescent="0.2">
      <c r="A999">
        <v>2018</v>
      </c>
      <c r="B999" t="s">
        <v>463</v>
      </c>
      <c r="D999">
        <v>7</v>
      </c>
    </row>
    <row r="1000" spans="1:4" hidden="1" x14ac:dyDescent="0.2">
      <c r="A1000">
        <v>2018</v>
      </c>
      <c r="B1000" t="s">
        <v>435</v>
      </c>
      <c r="D1000">
        <v>144077</v>
      </c>
    </row>
    <row r="1001" spans="1:4" hidden="1" x14ac:dyDescent="0.2">
      <c r="A1001">
        <v>2018</v>
      </c>
      <c r="B1001" t="s">
        <v>436</v>
      </c>
      <c r="D1001">
        <v>40</v>
      </c>
    </row>
    <row r="1002" spans="1:4" hidden="1" x14ac:dyDescent="0.2">
      <c r="A1002">
        <v>2018</v>
      </c>
      <c r="B1002" t="s">
        <v>437</v>
      </c>
      <c r="D1002">
        <v>27187</v>
      </c>
    </row>
    <row r="1003" spans="1:4" hidden="1" x14ac:dyDescent="0.2">
      <c r="A1003">
        <v>2018</v>
      </c>
      <c r="B1003" t="s">
        <v>438</v>
      </c>
      <c r="D1003">
        <v>10742</v>
      </c>
    </row>
    <row r="1004" spans="1:4" hidden="1" x14ac:dyDescent="0.2">
      <c r="A1004">
        <v>2018</v>
      </c>
      <c r="B1004" t="s">
        <v>449</v>
      </c>
      <c r="D1004">
        <v>8</v>
      </c>
    </row>
    <row r="1005" spans="1:4" hidden="1" x14ac:dyDescent="0.2">
      <c r="A1005">
        <v>2018</v>
      </c>
      <c r="B1005" t="s">
        <v>450</v>
      </c>
      <c r="D1005">
        <v>26</v>
      </c>
    </row>
    <row r="1006" spans="1:4" hidden="1" x14ac:dyDescent="0.2">
      <c r="A1006">
        <v>2018</v>
      </c>
      <c r="B1006" t="s">
        <v>459</v>
      </c>
      <c r="D1006">
        <v>78</v>
      </c>
    </row>
    <row r="1007" spans="1:4" hidden="1" x14ac:dyDescent="0.2">
      <c r="A1007">
        <v>2019</v>
      </c>
      <c r="B1007" t="s">
        <v>379</v>
      </c>
      <c r="D1007">
        <v>456</v>
      </c>
    </row>
    <row r="1008" spans="1:4" hidden="1" x14ac:dyDescent="0.2">
      <c r="A1008">
        <v>2019</v>
      </c>
      <c r="B1008" t="s">
        <v>456</v>
      </c>
      <c r="D1008">
        <v>64</v>
      </c>
    </row>
    <row r="1009" spans="1:4" hidden="1" x14ac:dyDescent="0.2">
      <c r="A1009">
        <v>2019</v>
      </c>
      <c r="B1009" t="s">
        <v>464</v>
      </c>
      <c r="D1009">
        <v>15</v>
      </c>
    </row>
    <row r="1010" spans="1:4" hidden="1" x14ac:dyDescent="0.2">
      <c r="A1010">
        <v>2019</v>
      </c>
      <c r="B1010" t="s">
        <v>380</v>
      </c>
      <c r="D1010">
        <v>218</v>
      </c>
    </row>
    <row r="1011" spans="1:4" hidden="1" x14ac:dyDescent="0.2">
      <c r="A1011">
        <v>2019</v>
      </c>
      <c r="B1011" t="s">
        <v>381</v>
      </c>
      <c r="D1011">
        <v>20298</v>
      </c>
    </row>
    <row r="1012" spans="1:4" hidden="1" x14ac:dyDescent="0.2">
      <c r="A1012">
        <v>2019</v>
      </c>
      <c r="B1012" t="s">
        <v>382</v>
      </c>
      <c r="D1012">
        <v>149</v>
      </c>
    </row>
    <row r="1013" spans="1:4" hidden="1" x14ac:dyDescent="0.2">
      <c r="A1013">
        <v>2019</v>
      </c>
      <c r="B1013" t="s">
        <v>383</v>
      </c>
      <c r="D1013">
        <v>44720</v>
      </c>
    </row>
    <row r="1014" spans="1:4" hidden="1" x14ac:dyDescent="0.2">
      <c r="A1014">
        <v>2019</v>
      </c>
      <c r="B1014" t="s">
        <v>384</v>
      </c>
      <c r="D1014">
        <v>772</v>
      </c>
    </row>
    <row r="1015" spans="1:4" hidden="1" x14ac:dyDescent="0.2">
      <c r="A1015">
        <v>2019</v>
      </c>
      <c r="B1015" t="s">
        <v>460</v>
      </c>
      <c r="D1015">
        <v>678</v>
      </c>
    </row>
    <row r="1016" spans="1:4" hidden="1" x14ac:dyDescent="0.2">
      <c r="A1016">
        <v>2019</v>
      </c>
      <c r="B1016" t="s">
        <v>458</v>
      </c>
      <c r="D1016">
        <v>109</v>
      </c>
    </row>
    <row r="1017" spans="1:4" hidden="1" x14ac:dyDescent="0.2">
      <c r="A1017">
        <v>2019</v>
      </c>
      <c r="B1017" t="s">
        <v>446</v>
      </c>
    </row>
    <row r="1018" spans="1:4" hidden="1" x14ac:dyDescent="0.2">
      <c r="A1018">
        <v>2019</v>
      </c>
      <c r="B1018" t="s">
        <v>439</v>
      </c>
      <c r="D1018">
        <v>116</v>
      </c>
    </row>
    <row r="1019" spans="1:4" hidden="1" x14ac:dyDescent="0.2">
      <c r="A1019">
        <v>2019</v>
      </c>
      <c r="B1019" t="s">
        <v>386</v>
      </c>
      <c r="D1019">
        <v>3793</v>
      </c>
    </row>
    <row r="1020" spans="1:4" hidden="1" x14ac:dyDescent="0.2">
      <c r="A1020">
        <v>2019</v>
      </c>
      <c r="B1020" t="s">
        <v>387</v>
      </c>
      <c r="D1020">
        <v>95</v>
      </c>
    </row>
    <row r="1021" spans="1:4" hidden="1" x14ac:dyDescent="0.2">
      <c r="A1021">
        <v>2019</v>
      </c>
      <c r="B1021" t="s">
        <v>388</v>
      </c>
      <c r="D1021">
        <v>3496</v>
      </c>
    </row>
    <row r="1022" spans="1:4" hidden="1" x14ac:dyDescent="0.2">
      <c r="A1022">
        <v>2019</v>
      </c>
      <c r="B1022" t="s">
        <v>389</v>
      </c>
    </row>
    <row r="1023" spans="1:4" hidden="1" x14ac:dyDescent="0.2">
      <c r="A1023">
        <v>2019</v>
      </c>
      <c r="B1023" t="s">
        <v>390</v>
      </c>
      <c r="D1023">
        <v>926</v>
      </c>
    </row>
    <row r="1024" spans="1:4" hidden="1" x14ac:dyDescent="0.2">
      <c r="A1024">
        <v>2019</v>
      </c>
      <c r="B1024" t="s">
        <v>391</v>
      </c>
      <c r="D1024">
        <v>20</v>
      </c>
    </row>
    <row r="1025" spans="1:4" hidden="1" x14ac:dyDescent="0.2">
      <c r="A1025">
        <v>2019</v>
      </c>
      <c r="B1025" t="s">
        <v>392</v>
      </c>
      <c r="D1025">
        <v>17</v>
      </c>
    </row>
    <row r="1026" spans="1:4" hidden="1" x14ac:dyDescent="0.2">
      <c r="A1026">
        <v>2019</v>
      </c>
      <c r="B1026" t="s">
        <v>440</v>
      </c>
    </row>
    <row r="1027" spans="1:4" hidden="1" x14ac:dyDescent="0.2">
      <c r="A1027">
        <v>2019</v>
      </c>
      <c r="B1027" t="s">
        <v>443</v>
      </c>
      <c r="D1027">
        <v>9</v>
      </c>
    </row>
    <row r="1028" spans="1:4" hidden="1" x14ac:dyDescent="0.2">
      <c r="A1028">
        <v>2019</v>
      </c>
      <c r="B1028" t="s">
        <v>393</v>
      </c>
      <c r="D1028">
        <v>678</v>
      </c>
    </row>
    <row r="1029" spans="1:4" hidden="1" x14ac:dyDescent="0.2">
      <c r="A1029">
        <v>2019</v>
      </c>
      <c r="B1029" t="s">
        <v>394</v>
      </c>
      <c r="D1029">
        <v>366</v>
      </c>
    </row>
    <row r="1030" spans="1:4" hidden="1" x14ac:dyDescent="0.2">
      <c r="A1030">
        <v>2019</v>
      </c>
      <c r="B1030" t="s">
        <v>395</v>
      </c>
      <c r="D1030">
        <v>2096</v>
      </c>
    </row>
    <row r="1031" spans="1:4" hidden="1" x14ac:dyDescent="0.2">
      <c r="A1031">
        <v>2019</v>
      </c>
      <c r="B1031" t="s">
        <v>452</v>
      </c>
    </row>
    <row r="1032" spans="1:4" hidden="1" x14ac:dyDescent="0.2">
      <c r="A1032">
        <v>2019</v>
      </c>
      <c r="B1032" t="s">
        <v>441</v>
      </c>
      <c r="D1032">
        <v>13</v>
      </c>
    </row>
    <row r="1033" spans="1:4" hidden="1" x14ac:dyDescent="0.2">
      <c r="A1033">
        <v>2019</v>
      </c>
      <c r="B1033" t="s">
        <v>447</v>
      </c>
    </row>
    <row r="1034" spans="1:4" hidden="1" x14ac:dyDescent="0.2">
      <c r="A1034">
        <v>2019</v>
      </c>
      <c r="B1034" t="s">
        <v>444</v>
      </c>
      <c r="D1034">
        <v>9</v>
      </c>
    </row>
    <row r="1035" spans="1:4" hidden="1" x14ac:dyDescent="0.2">
      <c r="A1035">
        <v>2019</v>
      </c>
      <c r="B1035" t="s">
        <v>396</v>
      </c>
    </row>
    <row r="1036" spans="1:4" hidden="1" x14ac:dyDescent="0.2">
      <c r="A1036">
        <v>2019</v>
      </c>
      <c r="B1036" t="s">
        <v>397</v>
      </c>
      <c r="D1036">
        <v>106086</v>
      </c>
    </row>
    <row r="1037" spans="1:4" hidden="1" x14ac:dyDescent="0.2">
      <c r="A1037">
        <v>2019</v>
      </c>
      <c r="B1037" t="s">
        <v>451</v>
      </c>
      <c r="D1037">
        <v>23</v>
      </c>
    </row>
    <row r="1038" spans="1:4" hidden="1" x14ac:dyDescent="0.2">
      <c r="A1038">
        <v>2019</v>
      </c>
      <c r="B1038" t="s">
        <v>398</v>
      </c>
      <c r="D1038">
        <v>32269</v>
      </c>
    </row>
    <row r="1039" spans="1:4" hidden="1" x14ac:dyDescent="0.2">
      <c r="A1039">
        <v>2019</v>
      </c>
      <c r="B1039" t="s">
        <v>453</v>
      </c>
      <c r="D1039">
        <v>1333</v>
      </c>
    </row>
    <row r="1040" spans="1:4" hidden="1" x14ac:dyDescent="0.2">
      <c r="A1040">
        <v>2019</v>
      </c>
      <c r="B1040" t="s">
        <v>399</v>
      </c>
    </row>
    <row r="1041" spans="1:4" hidden="1" x14ac:dyDescent="0.2">
      <c r="A1041">
        <v>2019</v>
      </c>
      <c r="B1041" t="s">
        <v>400</v>
      </c>
      <c r="D1041">
        <v>3607</v>
      </c>
    </row>
    <row r="1042" spans="1:4" hidden="1" x14ac:dyDescent="0.2">
      <c r="A1042">
        <v>2019</v>
      </c>
      <c r="B1042" t="s">
        <v>401</v>
      </c>
      <c r="D1042">
        <v>286</v>
      </c>
    </row>
    <row r="1043" spans="1:4" hidden="1" x14ac:dyDescent="0.2">
      <c r="A1043">
        <v>2019</v>
      </c>
      <c r="B1043" t="s">
        <v>402</v>
      </c>
      <c r="D1043">
        <v>23290</v>
      </c>
    </row>
    <row r="1044" spans="1:4" hidden="1" x14ac:dyDescent="0.2">
      <c r="A1044">
        <v>2019</v>
      </c>
      <c r="B1044" t="s">
        <v>403</v>
      </c>
      <c r="D1044">
        <v>346</v>
      </c>
    </row>
    <row r="1045" spans="1:4" hidden="1" x14ac:dyDescent="0.2">
      <c r="A1045">
        <v>2019</v>
      </c>
      <c r="B1045" t="s">
        <v>404</v>
      </c>
      <c r="D1045">
        <v>8</v>
      </c>
    </row>
    <row r="1046" spans="1:4" hidden="1" x14ac:dyDescent="0.2">
      <c r="A1046">
        <v>2019</v>
      </c>
      <c r="B1046" t="s">
        <v>405</v>
      </c>
      <c r="D1046">
        <v>2803</v>
      </c>
    </row>
    <row r="1047" spans="1:4" hidden="1" x14ac:dyDescent="0.2">
      <c r="A1047">
        <v>2019</v>
      </c>
      <c r="B1047" t="s">
        <v>406</v>
      </c>
      <c r="D1047">
        <v>114</v>
      </c>
    </row>
    <row r="1048" spans="1:4" hidden="1" x14ac:dyDescent="0.2">
      <c r="A1048">
        <v>2019</v>
      </c>
      <c r="B1048" t="s">
        <v>407</v>
      </c>
      <c r="D1048">
        <v>126</v>
      </c>
    </row>
    <row r="1049" spans="1:4" hidden="1" x14ac:dyDescent="0.2">
      <c r="A1049">
        <v>2019</v>
      </c>
      <c r="B1049" t="s">
        <v>408</v>
      </c>
      <c r="D1049">
        <v>939</v>
      </c>
    </row>
    <row r="1050" spans="1:4" hidden="1" x14ac:dyDescent="0.2">
      <c r="A1050">
        <v>2019</v>
      </c>
      <c r="B1050" t="s">
        <v>461</v>
      </c>
      <c r="D1050">
        <v>27</v>
      </c>
    </row>
    <row r="1051" spans="1:4" hidden="1" x14ac:dyDescent="0.2">
      <c r="A1051">
        <v>2019</v>
      </c>
      <c r="B1051" t="s">
        <v>454</v>
      </c>
    </row>
    <row r="1052" spans="1:4" hidden="1" x14ac:dyDescent="0.2">
      <c r="A1052">
        <v>2019</v>
      </c>
      <c r="B1052" t="s">
        <v>409</v>
      </c>
      <c r="D1052">
        <v>34646</v>
      </c>
    </row>
    <row r="1053" spans="1:4" hidden="1" x14ac:dyDescent="0.2">
      <c r="A1053">
        <v>2019</v>
      </c>
      <c r="B1053" t="s">
        <v>455</v>
      </c>
      <c r="D1053">
        <v>122</v>
      </c>
    </row>
    <row r="1054" spans="1:4" hidden="1" x14ac:dyDescent="0.2">
      <c r="A1054">
        <v>2019</v>
      </c>
      <c r="B1054" t="s">
        <v>410</v>
      </c>
      <c r="D1054">
        <v>61048</v>
      </c>
    </row>
    <row r="1055" spans="1:4" hidden="1" x14ac:dyDescent="0.2">
      <c r="A1055">
        <v>2019</v>
      </c>
      <c r="B1055" t="s">
        <v>411</v>
      </c>
    </row>
    <row r="1056" spans="1:4" hidden="1" x14ac:dyDescent="0.2">
      <c r="A1056">
        <v>2019</v>
      </c>
      <c r="B1056" t="s">
        <v>412</v>
      </c>
      <c r="D1056">
        <v>3758</v>
      </c>
    </row>
    <row r="1057" spans="1:4" hidden="1" x14ac:dyDescent="0.2">
      <c r="A1057">
        <v>2019</v>
      </c>
      <c r="B1057" t="s">
        <v>413</v>
      </c>
      <c r="D1057">
        <v>5</v>
      </c>
    </row>
    <row r="1058" spans="1:4" hidden="1" x14ac:dyDescent="0.2">
      <c r="A1058">
        <v>2019</v>
      </c>
      <c r="B1058" t="s">
        <v>414</v>
      </c>
      <c r="D1058">
        <v>21415</v>
      </c>
    </row>
    <row r="1059" spans="1:4" hidden="1" x14ac:dyDescent="0.2">
      <c r="A1059">
        <v>2019</v>
      </c>
      <c r="B1059" t="s">
        <v>445</v>
      </c>
      <c r="D1059">
        <v>36</v>
      </c>
    </row>
    <row r="1060" spans="1:4" hidden="1" x14ac:dyDescent="0.2">
      <c r="A1060">
        <v>2019</v>
      </c>
      <c r="B1060" t="s">
        <v>415</v>
      </c>
      <c r="D1060">
        <v>11</v>
      </c>
    </row>
    <row r="1061" spans="1:4" hidden="1" x14ac:dyDescent="0.2">
      <c r="A1061">
        <v>2019</v>
      </c>
      <c r="B1061" t="s">
        <v>416</v>
      </c>
      <c r="D1061">
        <v>95</v>
      </c>
    </row>
    <row r="1062" spans="1:4" hidden="1" x14ac:dyDescent="0.2">
      <c r="A1062">
        <v>2019</v>
      </c>
      <c r="B1062" t="s">
        <v>448</v>
      </c>
    </row>
    <row r="1063" spans="1:4" hidden="1" x14ac:dyDescent="0.2">
      <c r="A1063">
        <v>2019</v>
      </c>
      <c r="B1063" t="s">
        <v>417</v>
      </c>
      <c r="D1063">
        <v>34599</v>
      </c>
    </row>
    <row r="1064" spans="1:4" hidden="1" x14ac:dyDescent="0.2">
      <c r="A1064">
        <v>2019</v>
      </c>
      <c r="B1064" t="s">
        <v>418</v>
      </c>
      <c r="D1064">
        <v>2380</v>
      </c>
    </row>
    <row r="1065" spans="1:4" hidden="1" x14ac:dyDescent="0.2">
      <c r="A1065">
        <v>2019</v>
      </c>
      <c r="B1065" t="s">
        <v>420</v>
      </c>
      <c r="D1065">
        <v>7</v>
      </c>
    </row>
    <row r="1066" spans="1:4" hidden="1" x14ac:dyDescent="0.2">
      <c r="A1066">
        <v>2019</v>
      </c>
      <c r="B1066" t="s">
        <v>421</v>
      </c>
      <c r="D1066">
        <v>835</v>
      </c>
    </row>
    <row r="1067" spans="1:4" hidden="1" x14ac:dyDescent="0.2">
      <c r="A1067">
        <v>2019</v>
      </c>
      <c r="B1067" t="s">
        <v>422</v>
      </c>
      <c r="D1067">
        <v>3603</v>
      </c>
    </row>
    <row r="1068" spans="1:4" hidden="1" x14ac:dyDescent="0.2">
      <c r="A1068">
        <v>2019</v>
      </c>
      <c r="B1068" t="s">
        <v>423</v>
      </c>
      <c r="D1068">
        <v>6338</v>
      </c>
    </row>
    <row r="1069" spans="1:4" hidden="1" x14ac:dyDescent="0.2">
      <c r="A1069">
        <v>2019</v>
      </c>
      <c r="B1069" t="s">
        <v>424</v>
      </c>
      <c r="D1069">
        <v>761</v>
      </c>
    </row>
    <row r="1070" spans="1:4" hidden="1" x14ac:dyDescent="0.2">
      <c r="A1070">
        <v>2019</v>
      </c>
      <c r="B1070" t="s">
        <v>425</v>
      </c>
      <c r="D1070">
        <v>3559</v>
      </c>
    </row>
    <row r="1071" spans="1:4" hidden="1" x14ac:dyDescent="0.2">
      <c r="A1071">
        <v>2019</v>
      </c>
      <c r="B1071" t="s">
        <v>426</v>
      </c>
      <c r="D1071">
        <v>441</v>
      </c>
    </row>
    <row r="1072" spans="1:4" hidden="1" x14ac:dyDescent="0.2">
      <c r="A1072">
        <v>2019</v>
      </c>
      <c r="B1072" t="s">
        <v>427</v>
      </c>
      <c r="D1072">
        <v>13</v>
      </c>
    </row>
    <row r="1073" spans="1:4" hidden="1" x14ac:dyDescent="0.2">
      <c r="A1073">
        <v>2019</v>
      </c>
      <c r="B1073" t="s">
        <v>465</v>
      </c>
      <c r="D1073">
        <v>5</v>
      </c>
    </row>
    <row r="1074" spans="1:4" hidden="1" x14ac:dyDescent="0.2">
      <c r="A1074">
        <v>2019</v>
      </c>
      <c r="B1074" t="s">
        <v>428</v>
      </c>
      <c r="D1074">
        <v>137</v>
      </c>
    </row>
    <row r="1075" spans="1:4" hidden="1" x14ac:dyDescent="0.2">
      <c r="A1075">
        <v>2019</v>
      </c>
      <c r="B1075" t="s">
        <v>429</v>
      </c>
      <c r="D1075">
        <v>757</v>
      </c>
    </row>
    <row r="1076" spans="1:4" hidden="1" x14ac:dyDescent="0.2">
      <c r="A1076">
        <v>2019</v>
      </c>
      <c r="B1076" t="s">
        <v>457</v>
      </c>
      <c r="D1076">
        <v>5</v>
      </c>
    </row>
    <row r="1077" spans="1:4" hidden="1" x14ac:dyDescent="0.2">
      <c r="A1077">
        <v>2019</v>
      </c>
      <c r="B1077" t="s">
        <v>430</v>
      </c>
      <c r="D1077">
        <v>1446</v>
      </c>
    </row>
    <row r="1078" spans="1:4" hidden="1" x14ac:dyDescent="0.2">
      <c r="A1078">
        <v>2019</v>
      </c>
      <c r="B1078" t="s">
        <v>462</v>
      </c>
      <c r="D1078">
        <v>9</v>
      </c>
    </row>
    <row r="1079" spans="1:4" hidden="1" x14ac:dyDescent="0.2">
      <c r="A1079">
        <v>2019</v>
      </c>
      <c r="B1079" t="s">
        <v>431</v>
      </c>
      <c r="D1079">
        <v>865</v>
      </c>
    </row>
    <row r="1080" spans="1:4" hidden="1" x14ac:dyDescent="0.2">
      <c r="A1080">
        <v>2019</v>
      </c>
      <c r="B1080" t="s">
        <v>432</v>
      </c>
      <c r="D1080">
        <v>15328</v>
      </c>
    </row>
    <row r="1081" spans="1:4" hidden="1" x14ac:dyDescent="0.2">
      <c r="A1081">
        <v>2019</v>
      </c>
      <c r="B1081" t="s">
        <v>433</v>
      </c>
      <c r="D1081">
        <v>5</v>
      </c>
    </row>
    <row r="1082" spans="1:4" hidden="1" x14ac:dyDescent="0.2">
      <c r="A1082">
        <v>2019</v>
      </c>
      <c r="B1082" t="s">
        <v>434</v>
      </c>
      <c r="D1082">
        <v>6538</v>
      </c>
    </row>
    <row r="1083" spans="1:4" hidden="1" x14ac:dyDescent="0.2">
      <c r="A1083">
        <v>2019</v>
      </c>
      <c r="B1083" t="s">
        <v>442</v>
      </c>
      <c r="D1083">
        <v>6</v>
      </c>
    </row>
    <row r="1084" spans="1:4" hidden="1" x14ac:dyDescent="0.2">
      <c r="A1084">
        <v>2019</v>
      </c>
      <c r="B1084" t="s">
        <v>463</v>
      </c>
      <c r="D1084">
        <v>21</v>
      </c>
    </row>
    <row r="1085" spans="1:4" hidden="1" x14ac:dyDescent="0.2">
      <c r="A1085">
        <v>2019</v>
      </c>
      <c r="B1085" t="s">
        <v>435</v>
      </c>
      <c r="D1085">
        <v>148316</v>
      </c>
    </row>
    <row r="1086" spans="1:4" hidden="1" x14ac:dyDescent="0.2">
      <c r="A1086">
        <v>2019</v>
      </c>
      <c r="B1086" t="s">
        <v>436</v>
      </c>
      <c r="D1086">
        <v>40</v>
      </c>
    </row>
    <row r="1087" spans="1:4" hidden="1" x14ac:dyDescent="0.2">
      <c r="A1087">
        <v>2019</v>
      </c>
      <c r="B1087" t="s">
        <v>437</v>
      </c>
      <c r="D1087">
        <v>24936</v>
      </c>
    </row>
    <row r="1088" spans="1:4" hidden="1" x14ac:dyDescent="0.2">
      <c r="A1088">
        <v>2019</v>
      </c>
      <c r="B1088" t="s">
        <v>438</v>
      </c>
      <c r="D1088">
        <v>10149</v>
      </c>
    </row>
    <row r="1089" spans="1:4" hidden="1" x14ac:dyDescent="0.2">
      <c r="A1089">
        <v>2019</v>
      </c>
      <c r="B1089" t="s">
        <v>449</v>
      </c>
    </row>
    <row r="1090" spans="1:4" hidden="1" x14ac:dyDescent="0.2">
      <c r="A1090">
        <v>2019</v>
      </c>
      <c r="B1090" t="s">
        <v>450</v>
      </c>
      <c r="D1090">
        <v>5</v>
      </c>
    </row>
    <row r="1091" spans="1:4" hidden="1" x14ac:dyDescent="0.2">
      <c r="A1091">
        <v>2019</v>
      </c>
      <c r="B1091" t="s">
        <v>459</v>
      </c>
      <c r="D1091">
        <v>71</v>
      </c>
    </row>
    <row r="1092" spans="1:4" x14ac:dyDescent="0.2">
      <c r="A1092">
        <v>2020</v>
      </c>
      <c r="B1092" t="s">
        <v>379</v>
      </c>
      <c r="D1092">
        <v>444</v>
      </c>
    </row>
    <row r="1093" spans="1:4" x14ac:dyDescent="0.2">
      <c r="A1093">
        <v>2020</v>
      </c>
      <c r="B1093" t="s">
        <v>456</v>
      </c>
      <c r="D1093">
        <v>69</v>
      </c>
    </row>
    <row r="1094" spans="1:4" x14ac:dyDescent="0.2">
      <c r="A1094">
        <v>2020</v>
      </c>
      <c r="B1094" t="s">
        <v>464</v>
      </c>
      <c r="D1094">
        <v>22</v>
      </c>
    </row>
    <row r="1095" spans="1:4" x14ac:dyDescent="0.2">
      <c r="A1095">
        <v>2020</v>
      </c>
      <c r="B1095" t="s">
        <v>380</v>
      </c>
      <c r="D1095">
        <v>238</v>
      </c>
    </row>
    <row r="1096" spans="1:4" x14ac:dyDescent="0.2">
      <c r="A1096">
        <v>2020</v>
      </c>
      <c r="B1096" t="s">
        <v>381</v>
      </c>
      <c r="D1096">
        <v>20554</v>
      </c>
    </row>
    <row r="1097" spans="1:4" x14ac:dyDescent="0.2">
      <c r="A1097">
        <v>2020</v>
      </c>
      <c r="B1097" t="s">
        <v>382</v>
      </c>
      <c r="D1097">
        <v>150</v>
      </c>
    </row>
    <row r="1098" spans="1:4" x14ac:dyDescent="0.2">
      <c r="A1098">
        <v>2020</v>
      </c>
      <c r="B1098" t="s">
        <v>383</v>
      </c>
      <c r="D1098">
        <v>45269</v>
      </c>
    </row>
    <row r="1099" spans="1:4" x14ac:dyDescent="0.2">
      <c r="A1099">
        <v>2020</v>
      </c>
      <c r="B1099" t="s">
        <v>384</v>
      </c>
      <c r="D1099">
        <v>832</v>
      </c>
    </row>
    <row r="1100" spans="1:4" x14ac:dyDescent="0.2">
      <c r="A1100">
        <v>2020</v>
      </c>
      <c r="B1100" t="s">
        <v>460</v>
      </c>
      <c r="D1100">
        <v>677</v>
      </c>
    </row>
    <row r="1101" spans="1:4" x14ac:dyDescent="0.2">
      <c r="A1101">
        <v>2020</v>
      </c>
      <c r="B1101" t="s">
        <v>458</v>
      </c>
      <c r="D1101">
        <v>111</v>
      </c>
    </row>
    <row r="1102" spans="1:4" x14ac:dyDescent="0.2">
      <c r="A1102">
        <v>2020</v>
      </c>
      <c r="B1102" t="s">
        <v>446</v>
      </c>
    </row>
    <row r="1103" spans="1:4" x14ac:dyDescent="0.2">
      <c r="A1103">
        <v>2020</v>
      </c>
      <c r="B1103" t="s">
        <v>439</v>
      </c>
      <c r="D1103">
        <v>57</v>
      </c>
    </row>
    <row r="1104" spans="1:4" x14ac:dyDescent="0.2">
      <c r="A1104">
        <v>2020</v>
      </c>
      <c r="B1104" t="s">
        <v>386</v>
      </c>
      <c r="D1104">
        <v>2822</v>
      </c>
    </row>
    <row r="1105" spans="1:4" x14ac:dyDescent="0.2">
      <c r="A1105">
        <v>2020</v>
      </c>
      <c r="B1105" t="s">
        <v>387</v>
      </c>
      <c r="D1105">
        <v>63</v>
      </c>
    </row>
    <row r="1106" spans="1:4" x14ac:dyDescent="0.2">
      <c r="A1106">
        <v>2020</v>
      </c>
      <c r="B1106" t="s">
        <v>388</v>
      </c>
      <c r="D1106">
        <v>3348</v>
      </c>
    </row>
    <row r="1107" spans="1:4" x14ac:dyDescent="0.2">
      <c r="A1107">
        <v>2020</v>
      </c>
      <c r="B1107" t="s">
        <v>389</v>
      </c>
    </row>
    <row r="1108" spans="1:4" x14ac:dyDescent="0.2">
      <c r="A1108">
        <v>2020</v>
      </c>
      <c r="B1108" t="s">
        <v>390</v>
      </c>
      <c r="D1108">
        <v>831</v>
      </c>
    </row>
    <row r="1109" spans="1:4" x14ac:dyDescent="0.2">
      <c r="A1109">
        <v>2020</v>
      </c>
      <c r="B1109" t="s">
        <v>391</v>
      </c>
      <c r="D1109">
        <v>21</v>
      </c>
    </row>
    <row r="1110" spans="1:4" x14ac:dyDescent="0.2">
      <c r="A1110">
        <v>2020</v>
      </c>
      <c r="B1110" t="s">
        <v>392</v>
      </c>
      <c r="D1110">
        <v>21</v>
      </c>
    </row>
    <row r="1111" spans="1:4" x14ac:dyDescent="0.2">
      <c r="A1111">
        <v>2020</v>
      </c>
      <c r="B1111" t="s">
        <v>440</v>
      </c>
    </row>
    <row r="1112" spans="1:4" x14ac:dyDescent="0.2">
      <c r="A1112">
        <v>2020</v>
      </c>
      <c r="B1112" t="s">
        <v>443</v>
      </c>
      <c r="D1112">
        <v>6</v>
      </c>
    </row>
    <row r="1113" spans="1:4" x14ac:dyDescent="0.2">
      <c r="A1113">
        <v>2020</v>
      </c>
      <c r="B1113" t="s">
        <v>393</v>
      </c>
      <c r="D1113">
        <v>717</v>
      </c>
    </row>
    <row r="1114" spans="1:4" x14ac:dyDescent="0.2">
      <c r="A1114">
        <v>2020</v>
      </c>
      <c r="B1114" t="s">
        <v>394</v>
      </c>
      <c r="D1114">
        <v>218</v>
      </c>
    </row>
    <row r="1115" spans="1:4" x14ac:dyDescent="0.2">
      <c r="A1115">
        <v>2020</v>
      </c>
      <c r="B1115" t="s">
        <v>395</v>
      </c>
      <c r="D1115">
        <v>1722</v>
      </c>
    </row>
    <row r="1116" spans="1:4" x14ac:dyDescent="0.2">
      <c r="A1116">
        <v>2020</v>
      </c>
      <c r="B1116" t="s">
        <v>452</v>
      </c>
    </row>
    <row r="1117" spans="1:4" x14ac:dyDescent="0.2">
      <c r="A1117">
        <v>2020</v>
      </c>
      <c r="B1117" t="s">
        <v>441</v>
      </c>
      <c r="D1117">
        <v>6</v>
      </c>
    </row>
    <row r="1118" spans="1:4" x14ac:dyDescent="0.2">
      <c r="A1118">
        <v>2020</v>
      </c>
      <c r="B1118" t="s">
        <v>447</v>
      </c>
    </row>
    <row r="1119" spans="1:4" x14ac:dyDescent="0.2">
      <c r="A1119">
        <v>2020</v>
      </c>
      <c r="B1119" t="s">
        <v>444</v>
      </c>
      <c r="D1119">
        <v>5</v>
      </c>
    </row>
    <row r="1120" spans="1:4" x14ac:dyDescent="0.2">
      <c r="A1120">
        <v>2020</v>
      </c>
      <c r="B1120" t="s">
        <v>396</v>
      </c>
    </row>
    <row r="1121" spans="1:4" x14ac:dyDescent="0.2">
      <c r="A1121">
        <v>2020</v>
      </c>
      <c r="B1121" t="s">
        <v>397</v>
      </c>
      <c r="D1121">
        <v>108531</v>
      </c>
    </row>
    <row r="1122" spans="1:4" x14ac:dyDescent="0.2">
      <c r="A1122">
        <v>2020</v>
      </c>
      <c r="B1122" t="s">
        <v>451</v>
      </c>
      <c r="D1122">
        <v>23</v>
      </c>
    </row>
    <row r="1123" spans="1:4" x14ac:dyDescent="0.2">
      <c r="A1123">
        <v>2020</v>
      </c>
      <c r="B1123" t="s">
        <v>398</v>
      </c>
      <c r="D1123">
        <v>32382</v>
      </c>
    </row>
    <row r="1124" spans="1:4" x14ac:dyDescent="0.2">
      <c r="A1124">
        <v>2020</v>
      </c>
      <c r="B1124" t="s">
        <v>453</v>
      </c>
      <c r="D1124">
        <v>1389</v>
      </c>
    </row>
    <row r="1125" spans="1:4" x14ac:dyDescent="0.2">
      <c r="A1125">
        <v>2020</v>
      </c>
      <c r="B1125" t="s">
        <v>399</v>
      </c>
    </row>
    <row r="1126" spans="1:4" x14ac:dyDescent="0.2">
      <c r="A1126">
        <v>2020</v>
      </c>
      <c r="B1126" t="s">
        <v>400</v>
      </c>
      <c r="D1126">
        <v>3352</v>
      </c>
    </row>
    <row r="1127" spans="1:4" x14ac:dyDescent="0.2">
      <c r="A1127">
        <v>2020</v>
      </c>
      <c r="B1127" t="s">
        <v>401</v>
      </c>
      <c r="D1127">
        <v>310</v>
      </c>
    </row>
    <row r="1128" spans="1:4" x14ac:dyDescent="0.2">
      <c r="A1128">
        <v>2020</v>
      </c>
      <c r="B1128" t="s">
        <v>402</v>
      </c>
      <c r="D1128">
        <v>23576</v>
      </c>
    </row>
    <row r="1129" spans="1:4" x14ac:dyDescent="0.2">
      <c r="A1129">
        <v>2020</v>
      </c>
      <c r="B1129" t="s">
        <v>403</v>
      </c>
      <c r="D1129">
        <v>385</v>
      </c>
    </row>
    <row r="1130" spans="1:4" x14ac:dyDescent="0.2">
      <c r="A1130">
        <v>2020</v>
      </c>
      <c r="B1130" t="s">
        <v>404</v>
      </c>
      <c r="D1130">
        <v>8</v>
      </c>
    </row>
    <row r="1131" spans="1:4" x14ac:dyDescent="0.2">
      <c r="A1131">
        <v>2020</v>
      </c>
      <c r="B1131" t="s">
        <v>405</v>
      </c>
      <c r="D1131">
        <v>2862</v>
      </c>
    </row>
    <row r="1132" spans="1:4" x14ac:dyDescent="0.2">
      <c r="A1132">
        <v>2020</v>
      </c>
      <c r="B1132" t="s">
        <v>406</v>
      </c>
      <c r="D1132">
        <v>118</v>
      </c>
    </row>
    <row r="1133" spans="1:4" x14ac:dyDescent="0.2">
      <c r="A1133">
        <v>2020</v>
      </c>
      <c r="B1133" t="s">
        <v>407</v>
      </c>
      <c r="D1133">
        <v>470</v>
      </c>
    </row>
    <row r="1134" spans="1:4" x14ac:dyDescent="0.2">
      <c r="A1134">
        <v>2020</v>
      </c>
      <c r="B1134" t="s">
        <v>408</v>
      </c>
      <c r="D1134">
        <v>1025</v>
      </c>
    </row>
    <row r="1135" spans="1:4" x14ac:dyDescent="0.2">
      <c r="A1135">
        <v>2020</v>
      </c>
      <c r="B1135" t="s">
        <v>461</v>
      </c>
      <c r="D1135">
        <v>34</v>
      </c>
    </row>
    <row r="1136" spans="1:4" x14ac:dyDescent="0.2">
      <c r="A1136">
        <v>2020</v>
      </c>
      <c r="B1136" t="s">
        <v>454</v>
      </c>
    </row>
    <row r="1137" spans="1:4" x14ac:dyDescent="0.2">
      <c r="A1137">
        <v>2020</v>
      </c>
      <c r="B1137" t="s">
        <v>409</v>
      </c>
      <c r="D1137">
        <v>34965</v>
      </c>
    </row>
    <row r="1138" spans="1:4" x14ac:dyDescent="0.2">
      <c r="A1138">
        <v>2020</v>
      </c>
      <c r="B1138" t="s">
        <v>455</v>
      </c>
      <c r="D1138">
        <v>137</v>
      </c>
    </row>
    <row r="1139" spans="1:4" x14ac:dyDescent="0.2">
      <c r="A1139">
        <v>2020</v>
      </c>
      <c r="B1139" t="s">
        <v>410</v>
      </c>
      <c r="D1139">
        <v>64886</v>
      </c>
    </row>
    <row r="1140" spans="1:4" x14ac:dyDescent="0.2">
      <c r="A1140">
        <v>2020</v>
      </c>
      <c r="B1140" t="s">
        <v>411</v>
      </c>
    </row>
    <row r="1141" spans="1:4" x14ac:dyDescent="0.2">
      <c r="A1141">
        <v>2020</v>
      </c>
      <c r="B1141" t="s">
        <v>412</v>
      </c>
      <c r="D1141">
        <v>4040</v>
      </c>
    </row>
    <row r="1142" spans="1:4" x14ac:dyDescent="0.2">
      <c r="A1142">
        <v>2020</v>
      </c>
      <c r="B1142" t="s">
        <v>413</v>
      </c>
      <c r="D1142">
        <v>5</v>
      </c>
    </row>
    <row r="1143" spans="1:4" x14ac:dyDescent="0.2">
      <c r="A1143">
        <v>2020</v>
      </c>
      <c r="B1143" t="s">
        <v>414</v>
      </c>
      <c r="D1143">
        <v>21294</v>
      </c>
    </row>
    <row r="1144" spans="1:4" x14ac:dyDescent="0.2">
      <c r="A1144">
        <v>2020</v>
      </c>
      <c r="B1144" t="s">
        <v>445</v>
      </c>
      <c r="D1144">
        <v>38</v>
      </c>
    </row>
    <row r="1145" spans="1:4" x14ac:dyDescent="0.2">
      <c r="A1145">
        <v>2020</v>
      </c>
      <c r="B1145" t="s">
        <v>415</v>
      </c>
      <c r="D1145">
        <v>11</v>
      </c>
    </row>
    <row r="1146" spans="1:4" x14ac:dyDescent="0.2">
      <c r="A1146">
        <v>2020</v>
      </c>
      <c r="B1146" t="s">
        <v>416</v>
      </c>
      <c r="D1146">
        <v>95</v>
      </c>
    </row>
    <row r="1147" spans="1:4" x14ac:dyDescent="0.2">
      <c r="A1147">
        <v>2020</v>
      </c>
      <c r="B1147" t="s">
        <v>448</v>
      </c>
    </row>
    <row r="1148" spans="1:4" x14ac:dyDescent="0.2">
      <c r="A1148">
        <v>2020</v>
      </c>
      <c r="B1148" t="s">
        <v>417</v>
      </c>
      <c r="D1148">
        <v>32885</v>
      </c>
    </row>
    <row r="1149" spans="1:4" x14ac:dyDescent="0.2">
      <c r="A1149">
        <v>2020</v>
      </c>
      <c r="B1149" t="s">
        <v>418</v>
      </c>
      <c r="D1149">
        <v>2504</v>
      </c>
    </row>
    <row r="1150" spans="1:4" x14ac:dyDescent="0.2">
      <c r="A1150">
        <v>2020</v>
      </c>
      <c r="B1150" t="s">
        <v>420</v>
      </c>
      <c r="D1150">
        <v>7</v>
      </c>
    </row>
    <row r="1151" spans="1:4" x14ac:dyDescent="0.2">
      <c r="A1151">
        <v>2020</v>
      </c>
      <c r="B1151" t="s">
        <v>421</v>
      </c>
      <c r="D1151">
        <v>794</v>
      </c>
    </row>
    <row r="1152" spans="1:4" x14ac:dyDescent="0.2">
      <c r="A1152">
        <v>2020</v>
      </c>
      <c r="B1152" t="s">
        <v>422</v>
      </c>
      <c r="D1152">
        <v>3429</v>
      </c>
    </row>
    <row r="1153" spans="1:4" x14ac:dyDescent="0.2">
      <c r="A1153">
        <v>2020</v>
      </c>
      <c r="B1153" t="s">
        <v>423</v>
      </c>
      <c r="D1153">
        <v>6851</v>
      </c>
    </row>
    <row r="1154" spans="1:4" x14ac:dyDescent="0.2">
      <c r="A1154">
        <v>2020</v>
      </c>
      <c r="B1154" t="s">
        <v>424</v>
      </c>
      <c r="D1154">
        <v>639</v>
      </c>
    </row>
    <row r="1155" spans="1:4" x14ac:dyDescent="0.2">
      <c r="A1155">
        <v>2020</v>
      </c>
      <c r="B1155" t="s">
        <v>425</v>
      </c>
      <c r="D1155">
        <v>3603</v>
      </c>
    </row>
    <row r="1156" spans="1:4" x14ac:dyDescent="0.2">
      <c r="A1156">
        <v>2020</v>
      </c>
      <c r="B1156" t="s">
        <v>426</v>
      </c>
      <c r="D1156">
        <v>491</v>
      </c>
    </row>
    <row r="1157" spans="1:4" x14ac:dyDescent="0.2">
      <c r="A1157">
        <v>2020</v>
      </c>
      <c r="B1157" t="s">
        <v>427</v>
      </c>
      <c r="D1157">
        <v>13</v>
      </c>
    </row>
    <row r="1158" spans="1:4" x14ac:dyDescent="0.2">
      <c r="A1158">
        <v>2020</v>
      </c>
      <c r="B1158" t="s">
        <v>465</v>
      </c>
      <c r="D1158">
        <v>5</v>
      </c>
    </row>
    <row r="1159" spans="1:4" x14ac:dyDescent="0.2">
      <c r="A1159">
        <v>2020</v>
      </c>
      <c r="B1159" t="s">
        <v>428</v>
      </c>
      <c r="D1159">
        <v>112</v>
      </c>
    </row>
    <row r="1160" spans="1:4" x14ac:dyDescent="0.2">
      <c r="A1160">
        <v>2020</v>
      </c>
      <c r="B1160" t="s">
        <v>429</v>
      </c>
      <c r="D1160">
        <v>1002</v>
      </c>
    </row>
    <row r="1161" spans="1:4" x14ac:dyDescent="0.2">
      <c r="A1161">
        <v>2020</v>
      </c>
      <c r="B1161" t="s">
        <v>457</v>
      </c>
      <c r="D1161">
        <v>5</v>
      </c>
    </row>
    <row r="1162" spans="1:4" x14ac:dyDescent="0.2">
      <c r="A1162">
        <v>2020</v>
      </c>
      <c r="B1162" t="s">
        <v>430</v>
      </c>
      <c r="D1162">
        <v>2053</v>
      </c>
    </row>
    <row r="1163" spans="1:4" x14ac:dyDescent="0.2">
      <c r="A1163">
        <v>2020</v>
      </c>
      <c r="B1163" t="s">
        <v>462</v>
      </c>
      <c r="D1163">
        <v>9</v>
      </c>
    </row>
    <row r="1164" spans="1:4" x14ac:dyDescent="0.2">
      <c r="A1164">
        <v>2020</v>
      </c>
      <c r="B1164" t="s">
        <v>431</v>
      </c>
      <c r="D1164">
        <v>1073</v>
      </c>
    </row>
    <row r="1165" spans="1:4" x14ac:dyDescent="0.2">
      <c r="A1165">
        <v>2020</v>
      </c>
      <c r="B1165" t="s">
        <v>432</v>
      </c>
      <c r="D1165">
        <v>15206</v>
      </c>
    </row>
    <row r="1166" spans="1:4" x14ac:dyDescent="0.2">
      <c r="A1166">
        <v>2020</v>
      </c>
      <c r="B1166" t="s">
        <v>433</v>
      </c>
      <c r="D1166">
        <v>5</v>
      </c>
    </row>
    <row r="1167" spans="1:4" x14ac:dyDescent="0.2">
      <c r="A1167">
        <v>2020</v>
      </c>
      <c r="B1167" t="s">
        <v>434</v>
      </c>
      <c r="D1167">
        <v>6333</v>
      </c>
    </row>
    <row r="1168" spans="1:4" x14ac:dyDescent="0.2">
      <c r="A1168">
        <v>2020</v>
      </c>
      <c r="B1168" t="s">
        <v>442</v>
      </c>
      <c r="D1168">
        <v>6</v>
      </c>
    </row>
    <row r="1169" spans="1:4" x14ac:dyDescent="0.2">
      <c r="A1169">
        <v>2020</v>
      </c>
      <c r="B1169" t="s">
        <v>463</v>
      </c>
      <c r="D1169">
        <v>41</v>
      </c>
    </row>
    <row r="1170" spans="1:4" x14ac:dyDescent="0.2">
      <c r="A1170">
        <v>2020</v>
      </c>
      <c r="B1170" t="s">
        <v>435</v>
      </c>
      <c r="D1170">
        <v>148293</v>
      </c>
    </row>
    <row r="1171" spans="1:4" x14ac:dyDescent="0.2">
      <c r="A1171">
        <v>2020</v>
      </c>
      <c r="B1171" t="s">
        <v>436</v>
      </c>
      <c r="D1171">
        <v>41</v>
      </c>
    </row>
    <row r="1172" spans="1:4" x14ac:dyDescent="0.2">
      <c r="A1172">
        <v>2020</v>
      </c>
      <c r="B1172" t="s">
        <v>437</v>
      </c>
      <c r="D1172">
        <v>22832</v>
      </c>
    </row>
    <row r="1173" spans="1:4" x14ac:dyDescent="0.2">
      <c r="A1173">
        <v>2020</v>
      </c>
      <c r="B1173" t="s">
        <v>438</v>
      </c>
      <c r="D1173">
        <v>9733</v>
      </c>
    </row>
    <row r="1174" spans="1:4" x14ac:dyDescent="0.2">
      <c r="A1174">
        <v>2020</v>
      </c>
      <c r="B1174" t="s">
        <v>449</v>
      </c>
    </row>
    <row r="1175" spans="1:4" x14ac:dyDescent="0.2">
      <c r="A1175">
        <v>2020</v>
      </c>
      <c r="B1175" t="s">
        <v>450</v>
      </c>
      <c r="D1175">
        <v>5</v>
      </c>
    </row>
    <row r="1176" spans="1:4" x14ac:dyDescent="0.2">
      <c r="A1176">
        <v>2020</v>
      </c>
      <c r="B1176" t="s">
        <v>459</v>
      </c>
      <c r="D1176">
        <v>71</v>
      </c>
    </row>
    <row r="1177" spans="1:4" hidden="1" x14ac:dyDescent="0.2">
      <c r="A1177">
        <v>2021</v>
      </c>
      <c r="B1177" t="s">
        <v>379</v>
      </c>
      <c r="D1177">
        <v>446</v>
      </c>
    </row>
    <row r="1178" spans="1:4" hidden="1" x14ac:dyDescent="0.2">
      <c r="A1178">
        <v>2021</v>
      </c>
      <c r="B1178" t="s">
        <v>456</v>
      </c>
      <c r="D1178">
        <v>71</v>
      </c>
    </row>
    <row r="1179" spans="1:4" hidden="1" x14ac:dyDescent="0.2">
      <c r="A1179">
        <v>2021</v>
      </c>
      <c r="B1179" t="s">
        <v>464</v>
      </c>
      <c r="D1179">
        <v>33</v>
      </c>
    </row>
    <row r="1180" spans="1:4" hidden="1" x14ac:dyDescent="0.2">
      <c r="A1180">
        <v>2021</v>
      </c>
      <c r="B1180" t="s">
        <v>380</v>
      </c>
      <c r="D1180">
        <v>263</v>
      </c>
    </row>
    <row r="1181" spans="1:4" hidden="1" x14ac:dyDescent="0.2">
      <c r="A1181">
        <v>2021</v>
      </c>
      <c r="B1181" t="s">
        <v>381</v>
      </c>
      <c r="D1181">
        <v>21396</v>
      </c>
    </row>
    <row r="1182" spans="1:4" hidden="1" x14ac:dyDescent="0.2">
      <c r="A1182">
        <v>2021</v>
      </c>
      <c r="B1182" t="s">
        <v>382</v>
      </c>
      <c r="D1182">
        <v>151</v>
      </c>
    </row>
    <row r="1183" spans="1:4" hidden="1" x14ac:dyDescent="0.2">
      <c r="A1183">
        <v>2021</v>
      </c>
      <c r="B1183" t="s">
        <v>383</v>
      </c>
      <c r="D1183">
        <v>47690</v>
      </c>
    </row>
    <row r="1184" spans="1:4" hidden="1" x14ac:dyDescent="0.2">
      <c r="A1184">
        <v>2021</v>
      </c>
      <c r="B1184" t="s">
        <v>384</v>
      </c>
      <c r="D1184">
        <v>916</v>
      </c>
    </row>
    <row r="1185" spans="1:4" hidden="1" x14ac:dyDescent="0.2">
      <c r="A1185">
        <v>2021</v>
      </c>
      <c r="B1185" t="s">
        <v>460</v>
      </c>
      <c r="D1185">
        <v>693</v>
      </c>
    </row>
    <row r="1186" spans="1:4" hidden="1" x14ac:dyDescent="0.2">
      <c r="A1186">
        <v>2021</v>
      </c>
      <c r="B1186" t="s">
        <v>458</v>
      </c>
      <c r="D1186">
        <v>200</v>
      </c>
    </row>
    <row r="1187" spans="1:4" hidden="1" x14ac:dyDescent="0.2">
      <c r="A1187">
        <v>2021</v>
      </c>
      <c r="B1187" t="s">
        <v>446</v>
      </c>
    </row>
    <row r="1188" spans="1:4" hidden="1" x14ac:dyDescent="0.2">
      <c r="A1188">
        <v>2021</v>
      </c>
      <c r="B1188" t="s">
        <v>439</v>
      </c>
      <c r="D1188">
        <v>42</v>
      </c>
    </row>
    <row r="1189" spans="1:4" hidden="1" x14ac:dyDescent="0.2">
      <c r="A1189">
        <v>2021</v>
      </c>
      <c r="B1189" t="s">
        <v>386</v>
      </c>
      <c r="D1189">
        <v>2247</v>
      </c>
    </row>
    <row r="1190" spans="1:4" hidden="1" x14ac:dyDescent="0.2">
      <c r="A1190">
        <v>2021</v>
      </c>
      <c r="B1190" t="s">
        <v>387</v>
      </c>
      <c r="D1190">
        <v>51</v>
      </c>
    </row>
    <row r="1191" spans="1:4" hidden="1" x14ac:dyDescent="0.2">
      <c r="A1191">
        <v>2021</v>
      </c>
      <c r="B1191" t="s">
        <v>388</v>
      </c>
      <c r="D1191">
        <v>3390</v>
      </c>
    </row>
    <row r="1192" spans="1:4" hidden="1" x14ac:dyDescent="0.2">
      <c r="A1192">
        <v>2021</v>
      </c>
      <c r="B1192" t="s">
        <v>389</v>
      </c>
    </row>
    <row r="1193" spans="1:4" hidden="1" x14ac:dyDescent="0.2">
      <c r="A1193">
        <v>2021</v>
      </c>
      <c r="B1193" t="s">
        <v>390</v>
      </c>
      <c r="D1193">
        <v>721</v>
      </c>
    </row>
    <row r="1194" spans="1:4" hidden="1" x14ac:dyDescent="0.2">
      <c r="A1194">
        <v>2021</v>
      </c>
      <c r="B1194" t="s">
        <v>391</v>
      </c>
      <c r="D1194">
        <v>20</v>
      </c>
    </row>
    <row r="1195" spans="1:4" hidden="1" x14ac:dyDescent="0.2">
      <c r="A1195">
        <v>2021</v>
      </c>
      <c r="B1195" t="s">
        <v>392</v>
      </c>
      <c r="D1195">
        <v>24</v>
      </c>
    </row>
    <row r="1196" spans="1:4" hidden="1" x14ac:dyDescent="0.2">
      <c r="A1196">
        <v>2021</v>
      </c>
      <c r="B1196" t="s">
        <v>440</v>
      </c>
    </row>
    <row r="1197" spans="1:4" hidden="1" x14ac:dyDescent="0.2">
      <c r="A1197">
        <v>2021</v>
      </c>
      <c r="B1197" t="s">
        <v>443</v>
      </c>
      <c r="D1197">
        <v>6</v>
      </c>
    </row>
    <row r="1198" spans="1:4" hidden="1" x14ac:dyDescent="0.2">
      <c r="A1198">
        <v>2021</v>
      </c>
      <c r="B1198" t="s">
        <v>393</v>
      </c>
      <c r="D1198">
        <v>779</v>
      </c>
    </row>
    <row r="1199" spans="1:4" hidden="1" x14ac:dyDescent="0.2">
      <c r="A1199">
        <v>2021</v>
      </c>
      <c r="B1199" t="s">
        <v>394</v>
      </c>
      <c r="D1199">
        <v>183</v>
      </c>
    </row>
    <row r="1200" spans="1:4" hidden="1" x14ac:dyDescent="0.2">
      <c r="A1200">
        <v>2021</v>
      </c>
      <c r="B1200" t="s">
        <v>395</v>
      </c>
      <c r="D1200">
        <v>1504</v>
      </c>
    </row>
    <row r="1201" spans="1:4" hidden="1" x14ac:dyDescent="0.2">
      <c r="A1201">
        <v>2021</v>
      </c>
      <c r="B1201" t="s">
        <v>452</v>
      </c>
    </row>
    <row r="1202" spans="1:4" hidden="1" x14ac:dyDescent="0.2">
      <c r="A1202">
        <v>2021</v>
      </c>
      <c r="B1202" t="s">
        <v>441</v>
      </c>
      <c r="D1202">
        <v>6</v>
      </c>
    </row>
    <row r="1203" spans="1:4" hidden="1" x14ac:dyDescent="0.2">
      <c r="A1203">
        <v>2021</v>
      </c>
      <c r="B1203" t="s">
        <v>447</v>
      </c>
    </row>
    <row r="1204" spans="1:4" hidden="1" x14ac:dyDescent="0.2">
      <c r="A1204">
        <v>2021</v>
      </c>
      <c r="B1204" t="s">
        <v>444</v>
      </c>
      <c r="D1204">
        <v>5</v>
      </c>
    </row>
    <row r="1205" spans="1:4" hidden="1" x14ac:dyDescent="0.2">
      <c r="A1205">
        <v>2021</v>
      </c>
      <c r="B1205" t="s">
        <v>396</v>
      </c>
    </row>
    <row r="1206" spans="1:4" hidden="1" x14ac:dyDescent="0.2">
      <c r="A1206">
        <v>2021</v>
      </c>
      <c r="B1206" t="s">
        <v>397</v>
      </c>
      <c r="D1206">
        <v>109692</v>
      </c>
    </row>
    <row r="1207" spans="1:4" hidden="1" x14ac:dyDescent="0.2">
      <c r="A1207">
        <v>2021</v>
      </c>
      <c r="B1207" t="s">
        <v>451</v>
      </c>
      <c r="D1207">
        <v>23</v>
      </c>
    </row>
    <row r="1208" spans="1:4" hidden="1" x14ac:dyDescent="0.2">
      <c r="A1208">
        <v>2021</v>
      </c>
      <c r="B1208" t="s">
        <v>398</v>
      </c>
      <c r="D1208">
        <v>33670</v>
      </c>
    </row>
    <row r="1209" spans="1:4" hidden="1" x14ac:dyDescent="0.2">
      <c r="A1209">
        <v>2021</v>
      </c>
      <c r="B1209" t="s">
        <v>453</v>
      </c>
      <c r="D1209">
        <v>1365</v>
      </c>
    </row>
    <row r="1210" spans="1:4" hidden="1" x14ac:dyDescent="0.2">
      <c r="A1210">
        <v>2021</v>
      </c>
      <c r="B1210" t="s">
        <v>399</v>
      </c>
    </row>
    <row r="1211" spans="1:4" hidden="1" x14ac:dyDescent="0.2">
      <c r="A1211">
        <v>2021</v>
      </c>
      <c r="B1211" t="s">
        <v>400</v>
      </c>
      <c r="D1211">
        <v>3303</v>
      </c>
    </row>
    <row r="1212" spans="1:4" hidden="1" x14ac:dyDescent="0.2">
      <c r="A1212">
        <v>2021</v>
      </c>
      <c r="B1212" t="s">
        <v>401</v>
      </c>
      <c r="D1212">
        <v>357</v>
      </c>
    </row>
    <row r="1213" spans="1:4" hidden="1" x14ac:dyDescent="0.2">
      <c r="A1213">
        <v>2021</v>
      </c>
      <c r="B1213" t="s">
        <v>402</v>
      </c>
      <c r="D1213">
        <v>24138</v>
      </c>
    </row>
    <row r="1214" spans="1:4" hidden="1" x14ac:dyDescent="0.2">
      <c r="A1214">
        <v>2021</v>
      </c>
      <c r="B1214" t="s">
        <v>403</v>
      </c>
      <c r="D1214">
        <v>430</v>
      </c>
    </row>
    <row r="1215" spans="1:4" hidden="1" x14ac:dyDescent="0.2">
      <c r="A1215">
        <v>2021</v>
      </c>
      <c r="B1215" t="s">
        <v>404</v>
      </c>
      <c r="D1215">
        <v>8</v>
      </c>
    </row>
    <row r="1216" spans="1:4" hidden="1" x14ac:dyDescent="0.2">
      <c r="A1216">
        <v>2021</v>
      </c>
      <c r="B1216" t="s">
        <v>405</v>
      </c>
      <c r="D1216">
        <v>2906</v>
      </c>
    </row>
    <row r="1217" spans="1:4" hidden="1" x14ac:dyDescent="0.2">
      <c r="A1217">
        <v>2021</v>
      </c>
      <c r="B1217" t="s">
        <v>406</v>
      </c>
      <c r="D1217">
        <v>124</v>
      </c>
    </row>
    <row r="1218" spans="1:4" hidden="1" x14ac:dyDescent="0.2">
      <c r="A1218">
        <v>2021</v>
      </c>
      <c r="B1218" t="s">
        <v>407</v>
      </c>
      <c r="D1218">
        <v>993</v>
      </c>
    </row>
    <row r="1219" spans="1:4" hidden="1" x14ac:dyDescent="0.2">
      <c r="A1219">
        <v>2021</v>
      </c>
      <c r="B1219" t="s">
        <v>408</v>
      </c>
      <c r="D1219">
        <v>1113</v>
      </c>
    </row>
    <row r="1220" spans="1:4" hidden="1" x14ac:dyDescent="0.2">
      <c r="A1220">
        <v>2021</v>
      </c>
      <c r="B1220" t="s">
        <v>461</v>
      </c>
      <c r="D1220">
        <v>50</v>
      </c>
    </row>
    <row r="1221" spans="1:4" hidden="1" x14ac:dyDescent="0.2">
      <c r="A1221">
        <v>2021</v>
      </c>
      <c r="B1221" t="s">
        <v>454</v>
      </c>
    </row>
    <row r="1222" spans="1:4" hidden="1" x14ac:dyDescent="0.2">
      <c r="A1222">
        <v>2021</v>
      </c>
      <c r="B1222" t="s">
        <v>409</v>
      </c>
      <c r="D1222">
        <v>36407</v>
      </c>
    </row>
    <row r="1223" spans="1:4" hidden="1" x14ac:dyDescent="0.2">
      <c r="A1223">
        <v>2021</v>
      </c>
      <c r="B1223" t="s">
        <v>455</v>
      </c>
      <c r="D1223">
        <v>161</v>
      </c>
    </row>
    <row r="1224" spans="1:4" hidden="1" x14ac:dyDescent="0.2">
      <c r="A1224">
        <v>2021</v>
      </c>
      <c r="B1224" t="s">
        <v>410</v>
      </c>
      <c r="D1224">
        <v>69018</v>
      </c>
    </row>
    <row r="1225" spans="1:4" hidden="1" x14ac:dyDescent="0.2">
      <c r="A1225">
        <v>2021</v>
      </c>
      <c r="B1225" t="s">
        <v>411</v>
      </c>
    </row>
    <row r="1226" spans="1:4" hidden="1" x14ac:dyDescent="0.2">
      <c r="A1226">
        <v>2021</v>
      </c>
      <c r="B1226" t="s">
        <v>412</v>
      </c>
      <c r="D1226">
        <v>4441</v>
      </c>
    </row>
    <row r="1227" spans="1:4" hidden="1" x14ac:dyDescent="0.2">
      <c r="A1227">
        <v>2021</v>
      </c>
      <c r="B1227" t="s">
        <v>413</v>
      </c>
      <c r="D1227">
        <v>5</v>
      </c>
    </row>
    <row r="1228" spans="1:4" hidden="1" x14ac:dyDescent="0.2">
      <c r="A1228">
        <v>2021</v>
      </c>
      <c r="B1228" t="s">
        <v>414</v>
      </c>
      <c r="D1228">
        <v>20752</v>
      </c>
    </row>
    <row r="1229" spans="1:4" hidden="1" x14ac:dyDescent="0.2">
      <c r="A1229">
        <v>2021</v>
      </c>
      <c r="B1229" t="s">
        <v>445</v>
      </c>
      <c r="D1229">
        <v>44</v>
      </c>
    </row>
    <row r="1230" spans="1:4" hidden="1" x14ac:dyDescent="0.2">
      <c r="A1230">
        <v>2021</v>
      </c>
      <c r="B1230" t="s">
        <v>415</v>
      </c>
      <c r="D1230">
        <v>15</v>
      </c>
    </row>
    <row r="1231" spans="1:4" hidden="1" x14ac:dyDescent="0.2">
      <c r="A1231">
        <v>2021</v>
      </c>
      <c r="B1231" t="s">
        <v>416</v>
      </c>
      <c r="D1231">
        <v>93</v>
      </c>
    </row>
    <row r="1232" spans="1:4" hidden="1" x14ac:dyDescent="0.2">
      <c r="A1232">
        <v>2021</v>
      </c>
      <c r="B1232" t="s">
        <v>448</v>
      </c>
    </row>
    <row r="1233" spans="1:4" hidden="1" x14ac:dyDescent="0.2">
      <c r="A1233">
        <v>2021</v>
      </c>
      <c r="B1233" t="s">
        <v>417</v>
      </c>
      <c r="D1233">
        <v>32275</v>
      </c>
    </row>
    <row r="1234" spans="1:4" hidden="1" x14ac:dyDescent="0.2">
      <c r="A1234">
        <v>2021</v>
      </c>
      <c r="B1234" t="s">
        <v>418</v>
      </c>
      <c r="D1234">
        <v>2787</v>
      </c>
    </row>
    <row r="1235" spans="1:4" hidden="1" x14ac:dyDescent="0.2">
      <c r="A1235">
        <v>2021</v>
      </c>
      <c r="B1235" t="s">
        <v>420</v>
      </c>
      <c r="D1235">
        <v>7</v>
      </c>
    </row>
    <row r="1236" spans="1:4" hidden="1" x14ac:dyDescent="0.2">
      <c r="A1236">
        <v>2021</v>
      </c>
      <c r="B1236" t="s">
        <v>421</v>
      </c>
      <c r="D1236">
        <v>754</v>
      </c>
    </row>
    <row r="1237" spans="1:4" hidden="1" x14ac:dyDescent="0.2">
      <c r="A1237">
        <v>2021</v>
      </c>
      <c r="B1237" t="s">
        <v>422</v>
      </c>
      <c r="D1237">
        <v>3513</v>
      </c>
    </row>
    <row r="1238" spans="1:4" hidden="1" x14ac:dyDescent="0.2">
      <c r="A1238">
        <v>2021</v>
      </c>
      <c r="B1238" t="s">
        <v>466</v>
      </c>
      <c r="D1238">
        <v>10</v>
      </c>
    </row>
    <row r="1239" spans="1:4" hidden="1" x14ac:dyDescent="0.2">
      <c r="A1239">
        <v>2021</v>
      </c>
      <c r="B1239" t="s">
        <v>423</v>
      </c>
      <c r="D1239">
        <v>7492</v>
      </c>
    </row>
    <row r="1240" spans="1:4" hidden="1" x14ac:dyDescent="0.2">
      <c r="A1240">
        <v>2021</v>
      </c>
      <c r="B1240" t="s">
        <v>424</v>
      </c>
      <c r="D1240">
        <v>556</v>
      </c>
    </row>
    <row r="1241" spans="1:4" hidden="1" x14ac:dyDescent="0.2">
      <c r="A1241">
        <v>2021</v>
      </c>
      <c r="B1241" t="s">
        <v>425</v>
      </c>
      <c r="D1241">
        <v>3577</v>
      </c>
    </row>
    <row r="1242" spans="1:4" hidden="1" x14ac:dyDescent="0.2">
      <c r="A1242">
        <v>2021</v>
      </c>
      <c r="B1242" t="s">
        <v>426</v>
      </c>
      <c r="D1242">
        <v>579</v>
      </c>
    </row>
    <row r="1243" spans="1:4" hidden="1" x14ac:dyDescent="0.2">
      <c r="A1243">
        <v>2021</v>
      </c>
      <c r="B1243" t="s">
        <v>427</v>
      </c>
      <c r="D1243">
        <v>13</v>
      </c>
    </row>
    <row r="1244" spans="1:4" hidden="1" x14ac:dyDescent="0.2">
      <c r="A1244">
        <v>2021</v>
      </c>
      <c r="B1244" t="s">
        <v>465</v>
      </c>
      <c r="D1244">
        <v>5</v>
      </c>
    </row>
    <row r="1245" spans="1:4" hidden="1" x14ac:dyDescent="0.2">
      <c r="A1245">
        <v>2021</v>
      </c>
      <c r="B1245" t="s">
        <v>428</v>
      </c>
      <c r="D1245">
        <v>88</v>
      </c>
    </row>
    <row r="1246" spans="1:4" hidden="1" x14ac:dyDescent="0.2">
      <c r="A1246">
        <v>2021</v>
      </c>
      <c r="B1246" t="s">
        <v>429</v>
      </c>
      <c r="D1246">
        <v>1205</v>
      </c>
    </row>
    <row r="1247" spans="1:4" hidden="1" x14ac:dyDescent="0.2">
      <c r="A1247">
        <v>2021</v>
      </c>
      <c r="B1247" t="s">
        <v>457</v>
      </c>
      <c r="D1247">
        <v>5</v>
      </c>
    </row>
    <row r="1248" spans="1:4" hidden="1" x14ac:dyDescent="0.2">
      <c r="A1248">
        <v>2021</v>
      </c>
      <c r="B1248" t="s">
        <v>430</v>
      </c>
      <c r="D1248">
        <v>2496</v>
      </c>
    </row>
    <row r="1249" spans="1:4" hidden="1" x14ac:dyDescent="0.2">
      <c r="A1249">
        <v>2021</v>
      </c>
      <c r="B1249" t="s">
        <v>462</v>
      </c>
      <c r="D1249">
        <v>8</v>
      </c>
    </row>
    <row r="1250" spans="1:4" hidden="1" x14ac:dyDescent="0.2">
      <c r="A1250">
        <v>2021</v>
      </c>
      <c r="B1250" t="s">
        <v>431</v>
      </c>
      <c r="D1250">
        <v>1202</v>
      </c>
    </row>
    <row r="1251" spans="1:4" hidden="1" x14ac:dyDescent="0.2">
      <c r="A1251">
        <v>2021</v>
      </c>
      <c r="B1251" t="s">
        <v>432</v>
      </c>
      <c r="D1251">
        <v>15131</v>
      </c>
    </row>
    <row r="1252" spans="1:4" hidden="1" x14ac:dyDescent="0.2">
      <c r="A1252">
        <v>2021</v>
      </c>
      <c r="B1252" t="s">
        <v>433</v>
      </c>
      <c r="D1252">
        <v>5</v>
      </c>
    </row>
    <row r="1253" spans="1:4" hidden="1" x14ac:dyDescent="0.2">
      <c r="A1253">
        <v>2021</v>
      </c>
      <c r="B1253" t="s">
        <v>434</v>
      </c>
      <c r="D1253">
        <v>6143</v>
      </c>
    </row>
    <row r="1254" spans="1:4" hidden="1" x14ac:dyDescent="0.2">
      <c r="A1254">
        <v>2021</v>
      </c>
      <c r="B1254" t="s">
        <v>442</v>
      </c>
      <c r="D1254">
        <v>6</v>
      </c>
    </row>
    <row r="1255" spans="1:4" hidden="1" x14ac:dyDescent="0.2">
      <c r="A1255">
        <v>2021</v>
      </c>
      <c r="B1255" t="s">
        <v>463</v>
      </c>
      <c r="D1255">
        <v>965</v>
      </c>
    </row>
    <row r="1256" spans="1:4" hidden="1" x14ac:dyDescent="0.2">
      <c r="A1256">
        <v>2021</v>
      </c>
      <c r="B1256" t="s">
        <v>435</v>
      </c>
      <c r="D1256">
        <v>147170</v>
      </c>
    </row>
    <row r="1257" spans="1:4" hidden="1" x14ac:dyDescent="0.2">
      <c r="A1257">
        <v>2021</v>
      </c>
      <c r="B1257" t="s">
        <v>436</v>
      </c>
      <c r="D1257">
        <v>41</v>
      </c>
    </row>
    <row r="1258" spans="1:4" hidden="1" x14ac:dyDescent="0.2">
      <c r="A1258">
        <v>2021</v>
      </c>
      <c r="B1258" t="s">
        <v>437</v>
      </c>
      <c r="D1258">
        <v>21819</v>
      </c>
    </row>
    <row r="1259" spans="1:4" hidden="1" x14ac:dyDescent="0.2">
      <c r="A1259">
        <v>2021</v>
      </c>
      <c r="B1259" t="s">
        <v>438</v>
      </c>
      <c r="D1259">
        <v>9488</v>
      </c>
    </row>
    <row r="1260" spans="1:4" hidden="1" x14ac:dyDescent="0.2">
      <c r="A1260">
        <v>2021</v>
      </c>
      <c r="B1260" t="s">
        <v>449</v>
      </c>
    </row>
    <row r="1261" spans="1:4" hidden="1" x14ac:dyDescent="0.2">
      <c r="A1261">
        <v>2021</v>
      </c>
      <c r="B1261" t="s">
        <v>450</v>
      </c>
      <c r="D1261">
        <v>5</v>
      </c>
    </row>
    <row r="1262" spans="1:4" hidden="1" x14ac:dyDescent="0.2">
      <c r="A1262">
        <v>2021</v>
      </c>
      <c r="B1262" t="s">
        <v>459</v>
      </c>
      <c r="D1262">
        <v>69</v>
      </c>
    </row>
    <row r="1263" spans="1:4" hidden="1" x14ac:dyDescent="0.2">
      <c r="A1263">
        <v>2022</v>
      </c>
      <c r="B1263" t="s">
        <v>379</v>
      </c>
      <c r="C1263" t="s">
        <v>365</v>
      </c>
      <c r="D1263">
        <v>457</v>
      </c>
    </row>
    <row r="1264" spans="1:4" hidden="1" x14ac:dyDescent="0.2">
      <c r="A1264">
        <v>2022</v>
      </c>
      <c r="B1264" t="s">
        <v>456</v>
      </c>
      <c r="C1264" t="s">
        <v>365</v>
      </c>
      <c r="D1264">
        <v>51</v>
      </c>
    </row>
    <row r="1265" spans="1:4" hidden="1" x14ac:dyDescent="0.2">
      <c r="A1265">
        <v>2022</v>
      </c>
      <c r="B1265" t="s">
        <v>456</v>
      </c>
      <c r="C1265" t="s">
        <v>366</v>
      </c>
      <c r="D1265">
        <v>20</v>
      </c>
    </row>
    <row r="1266" spans="1:4" hidden="1" x14ac:dyDescent="0.2">
      <c r="A1266">
        <v>2022</v>
      </c>
      <c r="B1266" t="s">
        <v>464</v>
      </c>
      <c r="C1266" t="s">
        <v>365</v>
      </c>
      <c r="D1266">
        <v>42</v>
      </c>
    </row>
    <row r="1267" spans="1:4" hidden="1" x14ac:dyDescent="0.2">
      <c r="A1267">
        <v>2022</v>
      </c>
      <c r="B1267" t="s">
        <v>467</v>
      </c>
      <c r="C1267" t="s">
        <v>365</v>
      </c>
      <c r="D1267">
        <v>2</v>
      </c>
    </row>
    <row r="1268" spans="1:4" hidden="1" x14ac:dyDescent="0.2">
      <c r="A1268">
        <v>2022</v>
      </c>
      <c r="B1268" t="s">
        <v>468</v>
      </c>
      <c r="C1268" t="s">
        <v>365</v>
      </c>
      <c r="D1268">
        <v>1</v>
      </c>
    </row>
    <row r="1269" spans="1:4" hidden="1" x14ac:dyDescent="0.2">
      <c r="A1269">
        <v>2022</v>
      </c>
      <c r="B1269" t="s">
        <v>380</v>
      </c>
      <c r="C1269" t="s">
        <v>365</v>
      </c>
      <c r="D1269">
        <v>278</v>
      </c>
    </row>
    <row r="1270" spans="1:4" hidden="1" x14ac:dyDescent="0.2">
      <c r="A1270">
        <v>2022</v>
      </c>
      <c r="B1270" t="s">
        <v>381</v>
      </c>
      <c r="C1270" t="s">
        <v>365</v>
      </c>
      <c r="D1270">
        <v>19123</v>
      </c>
    </row>
    <row r="1271" spans="1:4" hidden="1" x14ac:dyDescent="0.2">
      <c r="A1271">
        <v>2022</v>
      </c>
      <c r="B1271" t="s">
        <v>381</v>
      </c>
      <c r="C1271" t="s">
        <v>366</v>
      </c>
      <c r="D1271">
        <v>17</v>
      </c>
    </row>
    <row r="1272" spans="1:4" hidden="1" x14ac:dyDescent="0.2">
      <c r="A1272">
        <v>2022</v>
      </c>
      <c r="B1272" t="s">
        <v>381</v>
      </c>
      <c r="C1272" t="s">
        <v>367</v>
      </c>
      <c r="D1272">
        <v>2398</v>
      </c>
    </row>
    <row r="1273" spans="1:4" hidden="1" x14ac:dyDescent="0.2">
      <c r="A1273">
        <v>2022</v>
      </c>
      <c r="B1273" t="s">
        <v>381</v>
      </c>
      <c r="C1273" t="s">
        <v>368</v>
      </c>
      <c r="D1273">
        <v>14</v>
      </c>
    </row>
    <row r="1274" spans="1:4" hidden="1" x14ac:dyDescent="0.2">
      <c r="A1274">
        <v>2022</v>
      </c>
      <c r="B1274" t="s">
        <v>381</v>
      </c>
      <c r="C1274" t="s">
        <v>364</v>
      </c>
      <c r="D1274">
        <v>163</v>
      </c>
    </row>
    <row r="1275" spans="1:4" hidden="1" x14ac:dyDescent="0.2">
      <c r="A1275">
        <v>2022</v>
      </c>
      <c r="B1275" t="s">
        <v>381</v>
      </c>
      <c r="C1275" t="s">
        <v>370</v>
      </c>
      <c r="D1275">
        <v>4</v>
      </c>
    </row>
    <row r="1276" spans="1:4" hidden="1" x14ac:dyDescent="0.2">
      <c r="A1276">
        <v>2022</v>
      </c>
      <c r="B1276" t="s">
        <v>382</v>
      </c>
      <c r="C1276" t="s">
        <v>365</v>
      </c>
      <c r="D1276">
        <v>154</v>
      </c>
    </row>
    <row r="1277" spans="1:4" hidden="1" x14ac:dyDescent="0.2">
      <c r="A1277">
        <v>2022</v>
      </c>
      <c r="B1277" t="s">
        <v>382</v>
      </c>
      <c r="C1277" t="s">
        <v>366</v>
      </c>
      <c r="D1277">
        <v>1</v>
      </c>
    </row>
    <row r="1278" spans="1:4" hidden="1" x14ac:dyDescent="0.2">
      <c r="A1278">
        <v>2022</v>
      </c>
      <c r="B1278" t="s">
        <v>469</v>
      </c>
      <c r="C1278" t="s">
        <v>365</v>
      </c>
      <c r="D1278">
        <v>1</v>
      </c>
    </row>
    <row r="1279" spans="1:4" hidden="1" x14ac:dyDescent="0.2">
      <c r="A1279">
        <v>2022</v>
      </c>
      <c r="B1279" t="s">
        <v>383</v>
      </c>
      <c r="C1279" t="s">
        <v>365</v>
      </c>
      <c r="D1279">
        <v>42246</v>
      </c>
    </row>
    <row r="1280" spans="1:4" hidden="1" x14ac:dyDescent="0.2">
      <c r="A1280">
        <v>2022</v>
      </c>
      <c r="B1280" t="s">
        <v>383</v>
      </c>
      <c r="C1280" t="s">
        <v>366</v>
      </c>
      <c r="D1280">
        <v>4636</v>
      </c>
    </row>
    <row r="1281" spans="1:4" hidden="1" x14ac:dyDescent="0.2">
      <c r="A1281">
        <v>2022</v>
      </c>
      <c r="B1281" t="s">
        <v>383</v>
      </c>
      <c r="C1281" t="s">
        <v>367</v>
      </c>
      <c r="D1281">
        <v>1502</v>
      </c>
    </row>
    <row r="1282" spans="1:4" hidden="1" x14ac:dyDescent="0.2">
      <c r="A1282">
        <v>2022</v>
      </c>
      <c r="B1282" t="s">
        <v>383</v>
      </c>
      <c r="C1282" t="s">
        <v>368</v>
      </c>
      <c r="D1282">
        <v>511</v>
      </c>
    </row>
    <row r="1283" spans="1:4" hidden="1" x14ac:dyDescent="0.2">
      <c r="A1283">
        <v>2022</v>
      </c>
      <c r="B1283" t="s">
        <v>383</v>
      </c>
      <c r="C1283" t="s">
        <v>364</v>
      </c>
      <c r="D1283">
        <v>636</v>
      </c>
    </row>
    <row r="1284" spans="1:4" hidden="1" x14ac:dyDescent="0.2">
      <c r="A1284">
        <v>2022</v>
      </c>
      <c r="B1284" t="s">
        <v>470</v>
      </c>
      <c r="C1284" t="s">
        <v>365</v>
      </c>
      <c r="D1284">
        <v>1</v>
      </c>
    </row>
    <row r="1285" spans="1:4" hidden="1" x14ac:dyDescent="0.2">
      <c r="A1285">
        <v>2022</v>
      </c>
      <c r="B1285" t="s">
        <v>384</v>
      </c>
      <c r="C1285" t="s">
        <v>365</v>
      </c>
      <c r="D1285">
        <v>971</v>
      </c>
    </row>
    <row r="1286" spans="1:4" hidden="1" x14ac:dyDescent="0.2">
      <c r="A1286">
        <v>2022</v>
      </c>
      <c r="B1286" t="s">
        <v>384</v>
      </c>
      <c r="C1286" t="s">
        <v>366</v>
      </c>
      <c r="D1286">
        <v>19</v>
      </c>
    </row>
    <row r="1287" spans="1:4" hidden="1" x14ac:dyDescent="0.2">
      <c r="A1287">
        <v>2022</v>
      </c>
      <c r="B1287" t="s">
        <v>384</v>
      </c>
      <c r="C1287" t="s">
        <v>368</v>
      </c>
      <c r="D1287">
        <v>2</v>
      </c>
    </row>
    <row r="1288" spans="1:4" hidden="1" x14ac:dyDescent="0.2">
      <c r="A1288">
        <v>2022</v>
      </c>
      <c r="B1288" t="s">
        <v>471</v>
      </c>
      <c r="C1288" t="s">
        <v>365</v>
      </c>
      <c r="D1288">
        <v>1</v>
      </c>
    </row>
    <row r="1289" spans="1:4" hidden="1" x14ac:dyDescent="0.2">
      <c r="A1289">
        <v>2022</v>
      </c>
      <c r="B1289" t="s">
        <v>472</v>
      </c>
      <c r="C1289" t="s">
        <v>365</v>
      </c>
      <c r="D1289">
        <v>1</v>
      </c>
    </row>
    <row r="1290" spans="1:4" hidden="1" x14ac:dyDescent="0.2">
      <c r="A1290">
        <v>2022</v>
      </c>
      <c r="B1290" t="s">
        <v>460</v>
      </c>
      <c r="C1290" t="s">
        <v>364</v>
      </c>
      <c r="D1290">
        <v>791</v>
      </c>
    </row>
    <row r="1291" spans="1:4" hidden="1" x14ac:dyDescent="0.2">
      <c r="A1291">
        <v>2022</v>
      </c>
      <c r="B1291" t="s">
        <v>473</v>
      </c>
      <c r="C1291" t="s">
        <v>365</v>
      </c>
      <c r="D1291">
        <v>3</v>
      </c>
    </row>
    <row r="1292" spans="1:4" hidden="1" x14ac:dyDescent="0.2">
      <c r="A1292">
        <v>2022</v>
      </c>
      <c r="B1292" t="s">
        <v>458</v>
      </c>
      <c r="C1292" t="s">
        <v>364</v>
      </c>
      <c r="D1292">
        <v>984</v>
      </c>
    </row>
    <row r="1293" spans="1:4" hidden="1" x14ac:dyDescent="0.2">
      <c r="A1293">
        <v>2022</v>
      </c>
      <c r="B1293" t="s">
        <v>385</v>
      </c>
      <c r="C1293" t="s">
        <v>365</v>
      </c>
      <c r="D1293">
        <v>3</v>
      </c>
    </row>
    <row r="1294" spans="1:4" hidden="1" x14ac:dyDescent="0.2">
      <c r="A1294">
        <v>2022</v>
      </c>
      <c r="B1294" t="s">
        <v>474</v>
      </c>
      <c r="C1294" t="s">
        <v>365</v>
      </c>
      <c r="D1294">
        <v>1</v>
      </c>
    </row>
    <row r="1295" spans="1:4" hidden="1" x14ac:dyDescent="0.2">
      <c r="A1295">
        <v>2022</v>
      </c>
      <c r="B1295" t="s">
        <v>475</v>
      </c>
      <c r="C1295" t="s">
        <v>365</v>
      </c>
      <c r="D1295">
        <v>1</v>
      </c>
    </row>
    <row r="1296" spans="1:4" hidden="1" x14ac:dyDescent="0.2">
      <c r="A1296">
        <v>2022</v>
      </c>
      <c r="B1296" t="s">
        <v>439</v>
      </c>
      <c r="C1296" t="s">
        <v>365</v>
      </c>
      <c r="D1296">
        <v>38</v>
      </c>
    </row>
    <row r="1297" spans="1:4" hidden="1" x14ac:dyDescent="0.2">
      <c r="A1297">
        <v>2022</v>
      </c>
      <c r="B1297" t="s">
        <v>386</v>
      </c>
      <c r="C1297" t="s">
        <v>365</v>
      </c>
      <c r="D1297">
        <v>2060</v>
      </c>
    </row>
    <row r="1298" spans="1:4" hidden="1" x14ac:dyDescent="0.2">
      <c r="A1298">
        <v>2022</v>
      </c>
      <c r="B1298" t="s">
        <v>387</v>
      </c>
      <c r="C1298" t="s">
        <v>365</v>
      </c>
      <c r="D1298">
        <v>37</v>
      </c>
    </row>
    <row r="1299" spans="1:4" hidden="1" x14ac:dyDescent="0.2">
      <c r="A1299">
        <v>2022</v>
      </c>
      <c r="B1299" t="s">
        <v>387</v>
      </c>
      <c r="C1299" t="s">
        <v>366</v>
      </c>
      <c r="D1299">
        <v>11</v>
      </c>
    </row>
    <row r="1300" spans="1:4" hidden="1" x14ac:dyDescent="0.2">
      <c r="A1300">
        <v>2022</v>
      </c>
      <c r="B1300" t="s">
        <v>388</v>
      </c>
      <c r="C1300" t="s">
        <v>365</v>
      </c>
      <c r="D1300">
        <v>1899</v>
      </c>
    </row>
    <row r="1301" spans="1:4" hidden="1" x14ac:dyDescent="0.2">
      <c r="A1301">
        <v>2022</v>
      </c>
      <c r="B1301" t="s">
        <v>388</v>
      </c>
      <c r="C1301" t="s">
        <v>366</v>
      </c>
      <c r="D1301">
        <v>1772</v>
      </c>
    </row>
    <row r="1302" spans="1:4" hidden="1" x14ac:dyDescent="0.2">
      <c r="A1302">
        <v>2022</v>
      </c>
      <c r="B1302" t="s">
        <v>388</v>
      </c>
      <c r="C1302" t="s">
        <v>370</v>
      </c>
      <c r="D1302">
        <v>3</v>
      </c>
    </row>
    <row r="1303" spans="1:4" hidden="1" x14ac:dyDescent="0.2">
      <c r="A1303">
        <v>2022</v>
      </c>
      <c r="B1303" t="s">
        <v>390</v>
      </c>
      <c r="C1303" t="s">
        <v>365</v>
      </c>
      <c r="D1303">
        <v>569</v>
      </c>
    </row>
    <row r="1304" spans="1:4" hidden="1" x14ac:dyDescent="0.2">
      <c r="A1304">
        <v>2022</v>
      </c>
      <c r="B1304" t="s">
        <v>391</v>
      </c>
      <c r="C1304" t="s">
        <v>365</v>
      </c>
      <c r="D1304">
        <v>20</v>
      </c>
    </row>
    <row r="1305" spans="1:4" hidden="1" x14ac:dyDescent="0.2">
      <c r="A1305">
        <v>2022</v>
      </c>
      <c r="B1305" t="s">
        <v>392</v>
      </c>
      <c r="C1305" t="s">
        <v>365</v>
      </c>
      <c r="D1305">
        <v>32</v>
      </c>
    </row>
    <row r="1306" spans="1:4" hidden="1" x14ac:dyDescent="0.2">
      <c r="A1306">
        <v>2022</v>
      </c>
      <c r="B1306" t="s">
        <v>476</v>
      </c>
      <c r="C1306" t="s">
        <v>365</v>
      </c>
      <c r="D1306">
        <v>1</v>
      </c>
    </row>
    <row r="1307" spans="1:4" hidden="1" x14ac:dyDescent="0.2">
      <c r="A1307">
        <v>2022</v>
      </c>
      <c r="B1307" t="s">
        <v>440</v>
      </c>
      <c r="C1307" t="s">
        <v>365</v>
      </c>
      <c r="D1307">
        <v>1</v>
      </c>
    </row>
    <row r="1308" spans="1:4" hidden="1" x14ac:dyDescent="0.2">
      <c r="A1308">
        <v>2022</v>
      </c>
      <c r="B1308" t="s">
        <v>443</v>
      </c>
      <c r="C1308" t="s">
        <v>365</v>
      </c>
      <c r="D1308">
        <v>5</v>
      </c>
    </row>
    <row r="1309" spans="1:4" hidden="1" x14ac:dyDescent="0.2">
      <c r="A1309">
        <v>2022</v>
      </c>
      <c r="B1309" t="s">
        <v>477</v>
      </c>
      <c r="C1309" t="s">
        <v>365</v>
      </c>
      <c r="D1309">
        <v>1</v>
      </c>
    </row>
    <row r="1310" spans="1:4" hidden="1" x14ac:dyDescent="0.2">
      <c r="A1310">
        <v>2022</v>
      </c>
      <c r="B1310" t="s">
        <v>393</v>
      </c>
      <c r="C1310" t="s">
        <v>365</v>
      </c>
      <c r="D1310">
        <v>849</v>
      </c>
    </row>
    <row r="1311" spans="1:4" hidden="1" x14ac:dyDescent="0.2">
      <c r="A1311">
        <v>2022</v>
      </c>
      <c r="B1311" t="s">
        <v>393</v>
      </c>
      <c r="C1311" t="s">
        <v>368</v>
      </c>
      <c r="D1311">
        <v>22</v>
      </c>
    </row>
    <row r="1312" spans="1:4" hidden="1" x14ac:dyDescent="0.2">
      <c r="A1312">
        <v>2022</v>
      </c>
      <c r="B1312" t="s">
        <v>394</v>
      </c>
      <c r="C1312" t="s">
        <v>365</v>
      </c>
      <c r="D1312">
        <v>167</v>
      </c>
    </row>
    <row r="1313" spans="1:4" hidden="1" x14ac:dyDescent="0.2">
      <c r="A1313">
        <v>2022</v>
      </c>
      <c r="B1313" t="s">
        <v>394</v>
      </c>
      <c r="C1313" t="s">
        <v>366</v>
      </c>
      <c r="D1313">
        <v>3</v>
      </c>
    </row>
    <row r="1314" spans="1:4" hidden="1" x14ac:dyDescent="0.2">
      <c r="A1314">
        <v>2022</v>
      </c>
      <c r="B1314" t="s">
        <v>394</v>
      </c>
      <c r="C1314" t="s">
        <v>364</v>
      </c>
      <c r="D1314">
        <v>1</v>
      </c>
    </row>
    <row r="1315" spans="1:4" hidden="1" x14ac:dyDescent="0.2">
      <c r="A1315">
        <v>2022</v>
      </c>
      <c r="B1315" t="s">
        <v>395</v>
      </c>
      <c r="C1315" t="s">
        <v>365</v>
      </c>
      <c r="D1315">
        <v>1339</v>
      </c>
    </row>
    <row r="1316" spans="1:4" hidden="1" x14ac:dyDescent="0.2">
      <c r="A1316">
        <v>2022</v>
      </c>
      <c r="B1316" t="s">
        <v>395</v>
      </c>
      <c r="C1316" t="s">
        <v>366</v>
      </c>
      <c r="D1316">
        <v>74</v>
      </c>
    </row>
    <row r="1317" spans="1:4" hidden="1" x14ac:dyDescent="0.2">
      <c r="A1317">
        <v>2022</v>
      </c>
      <c r="B1317" t="s">
        <v>395</v>
      </c>
      <c r="C1317" t="s">
        <v>364</v>
      </c>
      <c r="D1317">
        <v>1</v>
      </c>
    </row>
    <row r="1318" spans="1:4" hidden="1" x14ac:dyDescent="0.2">
      <c r="A1318">
        <v>2022</v>
      </c>
      <c r="B1318" t="s">
        <v>478</v>
      </c>
      <c r="C1318" t="s">
        <v>365</v>
      </c>
      <c r="D1318">
        <v>2</v>
      </c>
    </row>
    <row r="1319" spans="1:4" hidden="1" x14ac:dyDescent="0.2">
      <c r="A1319">
        <v>2022</v>
      </c>
      <c r="B1319" t="s">
        <v>441</v>
      </c>
      <c r="C1319" t="s">
        <v>365</v>
      </c>
      <c r="D1319">
        <v>6</v>
      </c>
    </row>
    <row r="1320" spans="1:4" hidden="1" x14ac:dyDescent="0.2">
      <c r="A1320">
        <v>2022</v>
      </c>
      <c r="B1320" t="s">
        <v>444</v>
      </c>
      <c r="C1320" t="s">
        <v>365</v>
      </c>
      <c r="D1320">
        <v>2</v>
      </c>
    </row>
    <row r="1321" spans="1:4" hidden="1" x14ac:dyDescent="0.2">
      <c r="A1321">
        <v>2022</v>
      </c>
      <c r="B1321" t="s">
        <v>479</v>
      </c>
      <c r="C1321" t="s">
        <v>365</v>
      </c>
      <c r="D1321">
        <v>3</v>
      </c>
    </row>
    <row r="1322" spans="1:4" hidden="1" x14ac:dyDescent="0.2">
      <c r="A1322">
        <v>2022</v>
      </c>
      <c r="B1322" t="s">
        <v>396</v>
      </c>
      <c r="C1322" t="s">
        <v>365</v>
      </c>
      <c r="D1322">
        <v>1</v>
      </c>
    </row>
    <row r="1323" spans="1:4" hidden="1" x14ac:dyDescent="0.2">
      <c r="A1323">
        <v>2022</v>
      </c>
      <c r="B1323" t="s">
        <v>397</v>
      </c>
      <c r="C1323" t="s">
        <v>365</v>
      </c>
      <c r="D1323">
        <v>92585</v>
      </c>
    </row>
    <row r="1324" spans="1:4" hidden="1" x14ac:dyDescent="0.2">
      <c r="A1324">
        <v>2022</v>
      </c>
      <c r="B1324" t="s">
        <v>397</v>
      </c>
      <c r="C1324" t="s">
        <v>367</v>
      </c>
      <c r="D1324">
        <v>15897</v>
      </c>
    </row>
    <row r="1325" spans="1:4" hidden="1" x14ac:dyDescent="0.2">
      <c r="A1325">
        <v>2022</v>
      </c>
      <c r="B1325" t="s">
        <v>397</v>
      </c>
      <c r="C1325" t="s">
        <v>369</v>
      </c>
      <c r="D1325">
        <v>16</v>
      </c>
    </row>
    <row r="1326" spans="1:4" hidden="1" x14ac:dyDescent="0.2">
      <c r="A1326">
        <v>2022</v>
      </c>
      <c r="B1326" t="s">
        <v>397</v>
      </c>
      <c r="C1326" t="s">
        <v>364</v>
      </c>
      <c r="D1326">
        <v>31</v>
      </c>
    </row>
    <row r="1327" spans="1:4" hidden="1" x14ac:dyDescent="0.2">
      <c r="A1327">
        <v>2022</v>
      </c>
      <c r="B1327" t="s">
        <v>451</v>
      </c>
      <c r="C1327" t="s">
        <v>365</v>
      </c>
      <c r="D1327">
        <v>23</v>
      </c>
    </row>
    <row r="1328" spans="1:4" hidden="1" x14ac:dyDescent="0.2">
      <c r="A1328">
        <v>2022</v>
      </c>
      <c r="B1328" t="s">
        <v>398</v>
      </c>
      <c r="C1328" t="s">
        <v>365</v>
      </c>
      <c r="D1328">
        <v>32414</v>
      </c>
    </row>
    <row r="1329" spans="1:4" hidden="1" x14ac:dyDescent="0.2">
      <c r="A1329">
        <v>2022</v>
      </c>
      <c r="B1329" t="s">
        <v>398</v>
      </c>
      <c r="C1329" t="s">
        <v>366</v>
      </c>
      <c r="D1329">
        <v>105</v>
      </c>
    </row>
    <row r="1330" spans="1:4" hidden="1" x14ac:dyDescent="0.2">
      <c r="A1330">
        <v>2022</v>
      </c>
      <c r="B1330" t="s">
        <v>398</v>
      </c>
      <c r="C1330" t="s">
        <v>367</v>
      </c>
      <c r="D1330">
        <v>1443</v>
      </c>
    </row>
    <row r="1331" spans="1:4" hidden="1" x14ac:dyDescent="0.2">
      <c r="A1331">
        <v>2022</v>
      </c>
      <c r="B1331" t="s">
        <v>398</v>
      </c>
      <c r="C1331" t="s">
        <v>369</v>
      </c>
      <c r="D1331">
        <v>4</v>
      </c>
    </row>
    <row r="1332" spans="1:4" hidden="1" x14ac:dyDescent="0.2">
      <c r="A1332">
        <v>2022</v>
      </c>
      <c r="B1332" t="s">
        <v>398</v>
      </c>
      <c r="C1332" t="s">
        <v>364</v>
      </c>
      <c r="D1332">
        <v>497</v>
      </c>
    </row>
    <row r="1333" spans="1:4" hidden="1" x14ac:dyDescent="0.2">
      <c r="A1333">
        <v>2022</v>
      </c>
      <c r="B1333" t="s">
        <v>453</v>
      </c>
      <c r="C1333" t="s">
        <v>365</v>
      </c>
      <c r="D1333">
        <v>1139</v>
      </c>
    </row>
    <row r="1334" spans="1:4" hidden="1" x14ac:dyDescent="0.2">
      <c r="A1334">
        <v>2022</v>
      </c>
      <c r="B1334" t="s">
        <v>453</v>
      </c>
      <c r="C1334" t="s">
        <v>366</v>
      </c>
      <c r="D1334">
        <v>202</v>
      </c>
    </row>
    <row r="1335" spans="1:4" hidden="1" x14ac:dyDescent="0.2">
      <c r="A1335">
        <v>2022</v>
      </c>
      <c r="B1335" t="s">
        <v>453</v>
      </c>
      <c r="C1335" t="s">
        <v>367</v>
      </c>
      <c r="D1335">
        <v>2</v>
      </c>
    </row>
    <row r="1336" spans="1:4" hidden="1" x14ac:dyDescent="0.2">
      <c r="A1336">
        <v>2022</v>
      </c>
      <c r="B1336" t="s">
        <v>480</v>
      </c>
      <c r="C1336" t="s">
        <v>365</v>
      </c>
      <c r="D1336">
        <v>1</v>
      </c>
    </row>
    <row r="1337" spans="1:4" hidden="1" x14ac:dyDescent="0.2">
      <c r="A1337">
        <v>2022</v>
      </c>
      <c r="B1337" t="s">
        <v>400</v>
      </c>
      <c r="C1337" t="s">
        <v>365</v>
      </c>
      <c r="D1337">
        <v>2512</v>
      </c>
    </row>
    <row r="1338" spans="1:4" hidden="1" x14ac:dyDescent="0.2">
      <c r="A1338">
        <v>2022</v>
      </c>
      <c r="B1338" t="s">
        <v>400</v>
      </c>
      <c r="C1338" t="s">
        <v>366</v>
      </c>
      <c r="D1338">
        <v>580</v>
      </c>
    </row>
    <row r="1339" spans="1:4" hidden="1" x14ac:dyDescent="0.2">
      <c r="A1339">
        <v>2022</v>
      </c>
      <c r="B1339" t="s">
        <v>400</v>
      </c>
      <c r="C1339" t="s">
        <v>367</v>
      </c>
      <c r="D1339">
        <v>99</v>
      </c>
    </row>
    <row r="1340" spans="1:4" hidden="1" x14ac:dyDescent="0.2">
      <c r="A1340">
        <v>2022</v>
      </c>
      <c r="B1340" t="s">
        <v>400</v>
      </c>
      <c r="C1340" t="s">
        <v>364</v>
      </c>
      <c r="D1340">
        <v>41</v>
      </c>
    </row>
    <row r="1341" spans="1:4" hidden="1" x14ac:dyDescent="0.2">
      <c r="A1341">
        <v>2022</v>
      </c>
      <c r="B1341" t="s">
        <v>401</v>
      </c>
      <c r="C1341" t="s">
        <v>365</v>
      </c>
      <c r="D1341">
        <v>358</v>
      </c>
    </row>
    <row r="1342" spans="1:4" hidden="1" x14ac:dyDescent="0.2">
      <c r="A1342">
        <v>2022</v>
      </c>
      <c r="B1342" t="s">
        <v>401</v>
      </c>
      <c r="C1342" t="s">
        <v>366</v>
      </c>
      <c r="D1342">
        <v>8</v>
      </c>
    </row>
    <row r="1343" spans="1:4" hidden="1" x14ac:dyDescent="0.2">
      <c r="A1343">
        <v>2022</v>
      </c>
      <c r="B1343" t="s">
        <v>401</v>
      </c>
      <c r="C1343" t="s">
        <v>368</v>
      </c>
      <c r="D1343">
        <v>1</v>
      </c>
    </row>
    <row r="1344" spans="1:4" hidden="1" x14ac:dyDescent="0.2">
      <c r="A1344">
        <v>2022</v>
      </c>
      <c r="B1344" t="s">
        <v>481</v>
      </c>
      <c r="C1344" t="s">
        <v>365</v>
      </c>
      <c r="D1344">
        <v>1</v>
      </c>
    </row>
    <row r="1345" spans="1:4" hidden="1" x14ac:dyDescent="0.2">
      <c r="A1345">
        <v>2022</v>
      </c>
      <c r="B1345" t="s">
        <v>402</v>
      </c>
      <c r="C1345" t="s">
        <v>365</v>
      </c>
      <c r="D1345">
        <v>20436</v>
      </c>
    </row>
    <row r="1346" spans="1:4" hidden="1" x14ac:dyDescent="0.2">
      <c r="A1346">
        <v>2022</v>
      </c>
      <c r="B1346" t="s">
        <v>402</v>
      </c>
      <c r="C1346" t="s">
        <v>366</v>
      </c>
      <c r="D1346">
        <v>2469</v>
      </c>
    </row>
    <row r="1347" spans="1:4" hidden="1" x14ac:dyDescent="0.2">
      <c r="A1347">
        <v>2022</v>
      </c>
      <c r="B1347" t="s">
        <v>402</v>
      </c>
      <c r="C1347" t="s">
        <v>367</v>
      </c>
      <c r="D1347">
        <v>1594</v>
      </c>
    </row>
    <row r="1348" spans="1:4" hidden="1" x14ac:dyDescent="0.2">
      <c r="A1348">
        <v>2022</v>
      </c>
      <c r="B1348" t="s">
        <v>402</v>
      </c>
      <c r="C1348" t="s">
        <v>369</v>
      </c>
      <c r="D1348">
        <v>1</v>
      </c>
    </row>
    <row r="1349" spans="1:4" hidden="1" x14ac:dyDescent="0.2">
      <c r="A1349">
        <v>2022</v>
      </c>
      <c r="B1349" t="s">
        <v>402</v>
      </c>
      <c r="C1349" t="s">
        <v>364</v>
      </c>
      <c r="D1349">
        <v>18</v>
      </c>
    </row>
    <row r="1350" spans="1:4" hidden="1" x14ac:dyDescent="0.2">
      <c r="A1350">
        <v>2022</v>
      </c>
      <c r="B1350" t="s">
        <v>482</v>
      </c>
      <c r="C1350" t="s">
        <v>365</v>
      </c>
      <c r="D1350">
        <v>3</v>
      </c>
    </row>
    <row r="1351" spans="1:4" hidden="1" x14ac:dyDescent="0.2">
      <c r="A1351">
        <v>2022</v>
      </c>
      <c r="B1351" t="s">
        <v>483</v>
      </c>
      <c r="C1351" t="s">
        <v>365</v>
      </c>
      <c r="D1351">
        <v>2</v>
      </c>
    </row>
    <row r="1352" spans="1:4" hidden="1" x14ac:dyDescent="0.2">
      <c r="A1352">
        <v>2022</v>
      </c>
      <c r="B1352" t="s">
        <v>403</v>
      </c>
      <c r="C1352" t="s">
        <v>365</v>
      </c>
      <c r="D1352">
        <v>454</v>
      </c>
    </row>
    <row r="1353" spans="1:4" hidden="1" x14ac:dyDescent="0.2">
      <c r="A1353">
        <v>2022</v>
      </c>
      <c r="B1353" t="s">
        <v>404</v>
      </c>
      <c r="C1353" t="s">
        <v>365</v>
      </c>
      <c r="D1353">
        <v>8</v>
      </c>
    </row>
    <row r="1354" spans="1:4" hidden="1" x14ac:dyDescent="0.2">
      <c r="A1354">
        <v>2022</v>
      </c>
      <c r="B1354" t="s">
        <v>405</v>
      </c>
      <c r="C1354" t="s">
        <v>365</v>
      </c>
      <c r="D1354">
        <v>1690</v>
      </c>
    </row>
    <row r="1355" spans="1:4" hidden="1" x14ac:dyDescent="0.2">
      <c r="A1355">
        <v>2022</v>
      </c>
      <c r="B1355" t="s">
        <v>405</v>
      </c>
      <c r="C1355" t="s">
        <v>366</v>
      </c>
      <c r="D1355">
        <v>606</v>
      </c>
    </row>
    <row r="1356" spans="1:4" hidden="1" x14ac:dyDescent="0.2">
      <c r="A1356">
        <v>2022</v>
      </c>
      <c r="B1356" t="s">
        <v>405</v>
      </c>
      <c r="C1356" t="s">
        <v>367</v>
      </c>
      <c r="D1356">
        <v>641</v>
      </c>
    </row>
    <row r="1357" spans="1:4" hidden="1" x14ac:dyDescent="0.2">
      <c r="A1357">
        <v>2022</v>
      </c>
      <c r="B1357" t="s">
        <v>405</v>
      </c>
      <c r="C1357" t="s">
        <v>368</v>
      </c>
      <c r="D1357">
        <v>10</v>
      </c>
    </row>
    <row r="1358" spans="1:4" hidden="1" x14ac:dyDescent="0.2">
      <c r="A1358">
        <v>2022</v>
      </c>
      <c r="B1358" t="s">
        <v>405</v>
      </c>
      <c r="C1358" t="s">
        <v>370</v>
      </c>
      <c r="D1358">
        <v>2</v>
      </c>
    </row>
    <row r="1359" spans="1:4" hidden="1" x14ac:dyDescent="0.2">
      <c r="A1359">
        <v>2022</v>
      </c>
      <c r="B1359" t="s">
        <v>484</v>
      </c>
      <c r="C1359" t="s">
        <v>365</v>
      </c>
      <c r="D1359">
        <v>1</v>
      </c>
    </row>
    <row r="1360" spans="1:4" hidden="1" x14ac:dyDescent="0.2">
      <c r="A1360">
        <v>2022</v>
      </c>
      <c r="B1360" t="s">
        <v>485</v>
      </c>
      <c r="C1360" t="s">
        <v>365</v>
      </c>
      <c r="D1360">
        <v>3</v>
      </c>
    </row>
    <row r="1361" spans="1:4" hidden="1" x14ac:dyDescent="0.2">
      <c r="A1361">
        <v>2022</v>
      </c>
      <c r="B1361" t="s">
        <v>486</v>
      </c>
      <c r="C1361" t="s">
        <v>365</v>
      </c>
      <c r="D1361">
        <v>1</v>
      </c>
    </row>
    <row r="1362" spans="1:4" hidden="1" x14ac:dyDescent="0.2">
      <c r="A1362">
        <v>2022</v>
      </c>
      <c r="B1362" t="s">
        <v>406</v>
      </c>
      <c r="C1362" t="s">
        <v>365</v>
      </c>
      <c r="D1362">
        <v>126</v>
      </c>
    </row>
    <row r="1363" spans="1:4" hidden="1" x14ac:dyDescent="0.2">
      <c r="A1363">
        <v>2022</v>
      </c>
      <c r="B1363" t="s">
        <v>407</v>
      </c>
      <c r="C1363" t="s">
        <v>365</v>
      </c>
      <c r="D1363">
        <v>869</v>
      </c>
    </row>
    <row r="1364" spans="1:4" hidden="1" x14ac:dyDescent="0.2">
      <c r="A1364">
        <v>2022</v>
      </c>
      <c r="B1364" t="s">
        <v>407</v>
      </c>
      <c r="C1364" t="s">
        <v>368</v>
      </c>
      <c r="D1364">
        <v>2</v>
      </c>
    </row>
    <row r="1365" spans="1:4" hidden="1" x14ac:dyDescent="0.2">
      <c r="A1365">
        <v>2022</v>
      </c>
      <c r="B1365" t="s">
        <v>407</v>
      </c>
      <c r="C1365" t="s">
        <v>364</v>
      </c>
      <c r="D1365">
        <v>391</v>
      </c>
    </row>
    <row r="1366" spans="1:4" hidden="1" x14ac:dyDescent="0.2">
      <c r="A1366">
        <v>2022</v>
      </c>
      <c r="B1366" t="s">
        <v>487</v>
      </c>
      <c r="C1366" t="s">
        <v>365</v>
      </c>
      <c r="D1366">
        <v>1</v>
      </c>
    </row>
    <row r="1367" spans="1:4" hidden="1" x14ac:dyDescent="0.2">
      <c r="A1367">
        <v>2022</v>
      </c>
      <c r="B1367" t="s">
        <v>408</v>
      </c>
      <c r="C1367" t="s">
        <v>365</v>
      </c>
      <c r="D1367">
        <v>1062</v>
      </c>
    </row>
    <row r="1368" spans="1:4" hidden="1" x14ac:dyDescent="0.2">
      <c r="A1368">
        <v>2022</v>
      </c>
      <c r="B1368" t="s">
        <v>408</v>
      </c>
      <c r="C1368" t="s">
        <v>366</v>
      </c>
      <c r="D1368">
        <v>68</v>
      </c>
    </row>
    <row r="1369" spans="1:4" hidden="1" x14ac:dyDescent="0.2">
      <c r="A1369">
        <v>2022</v>
      </c>
      <c r="B1369" t="s">
        <v>408</v>
      </c>
      <c r="C1369" t="s">
        <v>367</v>
      </c>
      <c r="D1369">
        <v>30</v>
      </c>
    </row>
    <row r="1370" spans="1:4" hidden="1" x14ac:dyDescent="0.2">
      <c r="A1370">
        <v>2022</v>
      </c>
      <c r="B1370" t="s">
        <v>461</v>
      </c>
      <c r="C1370" t="s">
        <v>365</v>
      </c>
      <c r="D1370">
        <v>50</v>
      </c>
    </row>
    <row r="1371" spans="1:4" hidden="1" x14ac:dyDescent="0.2">
      <c r="A1371">
        <v>2022</v>
      </c>
      <c r="B1371" t="s">
        <v>488</v>
      </c>
      <c r="C1371" t="s">
        <v>365</v>
      </c>
      <c r="D1371">
        <v>1</v>
      </c>
    </row>
    <row r="1372" spans="1:4" hidden="1" x14ac:dyDescent="0.2">
      <c r="A1372">
        <v>2022</v>
      </c>
      <c r="B1372" t="s">
        <v>454</v>
      </c>
      <c r="C1372" t="s">
        <v>365</v>
      </c>
      <c r="D1372">
        <v>3</v>
      </c>
    </row>
    <row r="1373" spans="1:4" hidden="1" x14ac:dyDescent="0.2">
      <c r="A1373">
        <v>2022</v>
      </c>
      <c r="B1373" t="s">
        <v>409</v>
      </c>
      <c r="C1373" t="s">
        <v>365</v>
      </c>
      <c r="D1373">
        <v>33482</v>
      </c>
    </row>
    <row r="1374" spans="1:4" hidden="1" x14ac:dyDescent="0.2">
      <c r="A1374">
        <v>2022</v>
      </c>
      <c r="B1374" t="s">
        <v>409</v>
      </c>
      <c r="C1374" t="s">
        <v>366</v>
      </c>
      <c r="D1374">
        <v>76</v>
      </c>
    </row>
    <row r="1375" spans="1:4" hidden="1" x14ac:dyDescent="0.2">
      <c r="A1375">
        <v>2022</v>
      </c>
      <c r="B1375" t="s">
        <v>409</v>
      </c>
      <c r="C1375" t="s">
        <v>367</v>
      </c>
      <c r="D1375">
        <v>3417</v>
      </c>
    </row>
    <row r="1376" spans="1:4" hidden="1" x14ac:dyDescent="0.2">
      <c r="A1376">
        <v>2022</v>
      </c>
      <c r="B1376" t="s">
        <v>409</v>
      </c>
      <c r="C1376" t="s">
        <v>364</v>
      </c>
      <c r="D1376">
        <v>4</v>
      </c>
    </row>
    <row r="1377" spans="1:4" hidden="1" x14ac:dyDescent="0.2">
      <c r="A1377">
        <v>2022</v>
      </c>
      <c r="B1377" t="s">
        <v>455</v>
      </c>
      <c r="C1377" t="s">
        <v>365</v>
      </c>
      <c r="D1377">
        <v>179</v>
      </c>
    </row>
    <row r="1378" spans="1:4" hidden="1" x14ac:dyDescent="0.2">
      <c r="A1378">
        <v>2022</v>
      </c>
      <c r="B1378" t="s">
        <v>455</v>
      </c>
      <c r="C1378" t="s">
        <v>368</v>
      </c>
      <c r="D1378">
        <v>1</v>
      </c>
    </row>
    <row r="1379" spans="1:4" hidden="1" x14ac:dyDescent="0.2">
      <c r="A1379">
        <v>2022</v>
      </c>
      <c r="B1379" t="s">
        <v>410</v>
      </c>
      <c r="C1379" t="s">
        <v>365</v>
      </c>
      <c r="D1379">
        <v>65956</v>
      </c>
    </row>
    <row r="1380" spans="1:4" hidden="1" x14ac:dyDescent="0.2">
      <c r="A1380">
        <v>2022</v>
      </c>
      <c r="B1380" t="s">
        <v>410</v>
      </c>
      <c r="C1380" t="s">
        <v>366</v>
      </c>
      <c r="D1380">
        <v>1065</v>
      </c>
    </row>
    <row r="1381" spans="1:4" hidden="1" x14ac:dyDescent="0.2">
      <c r="A1381">
        <v>2022</v>
      </c>
      <c r="B1381" t="s">
        <v>410</v>
      </c>
      <c r="C1381" t="s">
        <v>367</v>
      </c>
      <c r="D1381">
        <v>4527</v>
      </c>
    </row>
    <row r="1382" spans="1:4" hidden="1" x14ac:dyDescent="0.2">
      <c r="A1382">
        <v>2022</v>
      </c>
      <c r="B1382" t="s">
        <v>410</v>
      </c>
      <c r="C1382" t="s">
        <v>368</v>
      </c>
      <c r="D1382">
        <v>408</v>
      </c>
    </row>
    <row r="1383" spans="1:4" hidden="1" x14ac:dyDescent="0.2">
      <c r="A1383">
        <v>2022</v>
      </c>
      <c r="B1383" t="s">
        <v>410</v>
      </c>
      <c r="C1383" t="s">
        <v>369</v>
      </c>
      <c r="D1383">
        <v>79</v>
      </c>
    </row>
    <row r="1384" spans="1:4" hidden="1" x14ac:dyDescent="0.2">
      <c r="A1384">
        <v>2022</v>
      </c>
      <c r="B1384" t="s">
        <v>410</v>
      </c>
      <c r="C1384" t="s">
        <v>364</v>
      </c>
      <c r="D1384">
        <v>345</v>
      </c>
    </row>
    <row r="1385" spans="1:4" hidden="1" x14ac:dyDescent="0.2">
      <c r="A1385">
        <v>2022</v>
      </c>
      <c r="B1385" t="s">
        <v>410</v>
      </c>
      <c r="C1385" t="s">
        <v>370</v>
      </c>
      <c r="D1385">
        <v>10</v>
      </c>
    </row>
    <row r="1386" spans="1:4" hidden="1" x14ac:dyDescent="0.2">
      <c r="A1386">
        <v>2022</v>
      </c>
      <c r="B1386" t="s">
        <v>410</v>
      </c>
      <c r="C1386" t="s">
        <v>371</v>
      </c>
      <c r="D1386">
        <v>1</v>
      </c>
    </row>
    <row r="1387" spans="1:4" hidden="1" x14ac:dyDescent="0.2">
      <c r="A1387">
        <v>2022</v>
      </c>
      <c r="B1387" t="s">
        <v>489</v>
      </c>
      <c r="C1387" t="s">
        <v>365</v>
      </c>
      <c r="D1387">
        <v>2</v>
      </c>
    </row>
    <row r="1388" spans="1:4" hidden="1" x14ac:dyDescent="0.2">
      <c r="A1388">
        <v>2022</v>
      </c>
      <c r="B1388" t="s">
        <v>411</v>
      </c>
      <c r="C1388" t="s">
        <v>365</v>
      </c>
      <c r="D1388">
        <v>1</v>
      </c>
    </row>
    <row r="1389" spans="1:4" hidden="1" x14ac:dyDescent="0.2">
      <c r="A1389">
        <v>2022</v>
      </c>
      <c r="B1389" t="s">
        <v>412</v>
      </c>
      <c r="C1389" t="s">
        <v>365</v>
      </c>
      <c r="D1389">
        <v>4512</v>
      </c>
    </row>
    <row r="1390" spans="1:4" hidden="1" x14ac:dyDescent="0.2">
      <c r="A1390">
        <v>2022</v>
      </c>
      <c r="B1390" t="s">
        <v>412</v>
      </c>
      <c r="C1390" t="s">
        <v>366</v>
      </c>
      <c r="D1390">
        <v>24</v>
      </c>
    </row>
    <row r="1391" spans="1:4" hidden="1" x14ac:dyDescent="0.2">
      <c r="A1391">
        <v>2022</v>
      </c>
      <c r="B1391" t="s">
        <v>412</v>
      </c>
      <c r="C1391" t="s">
        <v>364</v>
      </c>
      <c r="D1391">
        <v>78</v>
      </c>
    </row>
    <row r="1392" spans="1:4" hidden="1" x14ac:dyDescent="0.2">
      <c r="A1392">
        <v>2022</v>
      </c>
      <c r="B1392" t="s">
        <v>413</v>
      </c>
      <c r="C1392" t="s">
        <v>365</v>
      </c>
      <c r="D1392">
        <v>5</v>
      </c>
    </row>
    <row r="1393" spans="1:4" hidden="1" x14ac:dyDescent="0.2">
      <c r="A1393">
        <v>2022</v>
      </c>
      <c r="B1393" t="s">
        <v>490</v>
      </c>
      <c r="C1393" t="s">
        <v>365</v>
      </c>
      <c r="D1393">
        <v>1</v>
      </c>
    </row>
    <row r="1394" spans="1:4" hidden="1" x14ac:dyDescent="0.2">
      <c r="A1394">
        <v>2022</v>
      </c>
      <c r="B1394" t="s">
        <v>414</v>
      </c>
      <c r="C1394" t="s">
        <v>365</v>
      </c>
      <c r="D1394">
        <v>19722</v>
      </c>
    </row>
    <row r="1395" spans="1:4" hidden="1" x14ac:dyDescent="0.2">
      <c r="A1395">
        <v>2022</v>
      </c>
      <c r="B1395" t="s">
        <v>414</v>
      </c>
      <c r="C1395" t="s">
        <v>368</v>
      </c>
      <c r="D1395">
        <v>4</v>
      </c>
    </row>
    <row r="1396" spans="1:4" hidden="1" x14ac:dyDescent="0.2">
      <c r="A1396">
        <v>2022</v>
      </c>
      <c r="B1396" t="s">
        <v>445</v>
      </c>
      <c r="C1396" t="s">
        <v>365</v>
      </c>
      <c r="D1396">
        <v>44</v>
      </c>
    </row>
    <row r="1397" spans="1:4" hidden="1" x14ac:dyDescent="0.2">
      <c r="A1397">
        <v>2022</v>
      </c>
      <c r="B1397" t="s">
        <v>415</v>
      </c>
      <c r="C1397" t="s">
        <v>365</v>
      </c>
      <c r="D1397">
        <v>23</v>
      </c>
    </row>
    <row r="1398" spans="1:4" hidden="1" x14ac:dyDescent="0.2">
      <c r="A1398">
        <v>2022</v>
      </c>
      <c r="B1398" t="s">
        <v>416</v>
      </c>
      <c r="C1398" t="s">
        <v>365</v>
      </c>
      <c r="D1398">
        <v>95</v>
      </c>
    </row>
    <row r="1399" spans="1:4" hidden="1" x14ac:dyDescent="0.2">
      <c r="A1399">
        <v>2022</v>
      </c>
      <c r="B1399" t="s">
        <v>417</v>
      </c>
      <c r="C1399" t="s">
        <v>365</v>
      </c>
      <c r="D1399">
        <v>28376</v>
      </c>
    </row>
    <row r="1400" spans="1:4" hidden="1" x14ac:dyDescent="0.2">
      <c r="A1400">
        <v>2022</v>
      </c>
      <c r="B1400" t="s">
        <v>417</v>
      </c>
      <c r="C1400" t="s">
        <v>366</v>
      </c>
      <c r="D1400">
        <v>32</v>
      </c>
    </row>
    <row r="1401" spans="1:4" hidden="1" x14ac:dyDescent="0.2">
      <c r="A1401">
        <v>2022</v>
      </c>
      <c r="B1401" t="s">
        <v>417</v>
      </c>
      <c r="C1401" t="s">
        <v>367</v>
      </c>
      <c r="D1401">
        <v>3395</v>
      </c>
    </row>
    <row r="1402" spans="1:4" hidden="1" x14ac:dyDescent="0.2">
      <c r="A1402">
        <v>2022</v>
      </c>
      <c r="B1402" t="s">
        <v>417</v>
      </c>
      <c r="C1402" t="s">
        <v>364</v>
      </c>
      <c r="D1402">
        <v>47</v>
      </c>
    </row>
    <row r="1403" spans="1:4" hidden="1" x14ac:dyDescent="0.2">
      <c r="A1403">
        <v>2022</v>
      </c>
      <c r="B1403" t="s">
        <v>491</v>
      </c>
      <c r="C1403" t="s">
        <v>365</v>
      </c>
      <c r="D1403">
        <v>1</v>
      </c>
    </row>
    <row r="1404" spans="1:4" hidden="1" x14ac:dyDescent="0.2">
      <c r="A1404">
        <v>2022</v>
      </c>
      <c r="B1404" t="s">
        <v>418</v>
      </c>
      <c r="C1404" t="s">
        <v>365</v>
      </c>
      <c r="D1404">
        <v>2306</v>
      </c>
    </row>
    <row r="1405" spans="1:4" hidden="1" x14ac:dyDescent="0.2">
      <c r="A1405">
        <v>2022</v>
      </c>
      <c r="B1405" t="s">
        <v>418</v>
      </c>
      <c r="C1405" t="s">
        <v>366</v>
      </c>
      <c r="D1405">
        <v>503</v>
      </c>
    </row>
    <row r="1406" spans="1:4" hidden="1" x14ac:dyDescent="0.2">
      <c r="A1406">
        <v>2022</v>
      </c>
      <c r="B1406" t="s">
        <v>418</v>
      </c>
      <c r="C1406" t="s">
        <v>364</v>
      </c>
      <c r="D1406">
        <v>73</v>
      </c>
    </row>
    <row r="1407" spans="1:4" hidden="1" x14ac:dyDescent="0.2">
      <c r="A1407">
        <v>2022</v>
      </c>
      <c r="B1407" t="s">
        <v>492</v>
      </c>
      <c r="C1407" t="s">
        <v>365</v>
      </c>
      <c r="D1407">
        <v>4</v>
      </c>
    </row>
    <row r="1408" spans="1:4" hidden="1" x14ac:dyDescent="0.2">
      <c r="A1408">
        <v>2022</v>
      </c>
      <c r="B1408" t="s">
        <v>420</v>
      </c>
      <c r="C1408" t="s">
        <v>365</v>
      </c>
      <c r="D1408">
        <v>7</v>
      </c>
    </row>
    <row r="1409" spans="1:4" hidden="1" x14ac:dyDescent="0.2">
      <c r="A1409">
        <v>2022</v>
      </c>
      <c r="B1409" t="s">
        <v>421</v>
      </c>
      <c r="C1409" t="s">
        <v>365</v>
      </c>
      <c r="D1409">
        <v>709</v>
      </c>
    </row>
    <row r="1410" spans="1:4" hidden="1" x14ac:dyDescent="0.2">
      <c r="A1410">
        <v>2022</v>
      </c>
      <c r="B1410" t="s">
        <v>422</v>
      </c>
      <c r="C1410" t="s">
        <v>365</v>
      </c>
      <c r="D1410">
        <v>3067</v>
      </c>
    </row>
    <row r="1411" spans="1:4" hidden="1" x14ac:dyDescent="0.2">
      <c r="A1411">
        <v>2022</v>
      </c>
      <c r="B1411" t="s">
        <v>422</v>
      </c>
      <c r="C1411" t="s">
        <v>366</v>
      </c>
      <c r="D1411">
        <v>618</v>
      </c>
    </row>
    <row r="1412" spans="1:4" hidden="1" x14ac:dyDescent="0.2">
      <c r="A1412">
        <v>2022</v>
      </c>
      <c r="B1412" t="s">
        <v>422</v>
      </c>
      <c r="C1412" t="s">
        <v>364</v>
      </c>
      <c r="D1412">
        <v>35</v>
      </c>
    </row>
    <row r="1413" spans="1:4" hidden="1" x14ac:dyDescent="0.2">
      <c r="A1413">
        <v>2022</v>
      </c>
      <c r="B1413" t="s">
        <v>466</v>
      </c>
      <c r="C1413" t="s">
        <v>364</v>
      </c>
      <c r="D1413">
        <v>168</v>
      </c>
    </row>
    <row r="1414" spans="1:4" hidden="1" x14ac:dyDescent="0.2">
      <c r="A1414">
        <v>2022</v>
      </c>
      <c r="B1414" t="s">
        <v>493</v>
      </c>
      <c r="C1414" t="s">
        <v>365</v>
      </c>
      <c r="D1414">
        <v>2</v>
      </c>
    </row>
    <row r="1415" spans="1:4" hidden="1" x14ac:dyDescent="0.2">
      <c r="A1415">
        <v>2022</v>
      </c>
      <c r="B1415" t="s">
        <v>423</v>
      </c>
      <c r="C1415" t="s">
        <v>365</v>
      </c>
      <c r="D1415">
        <v>7559</v>
      </c>
    </row>
    <row r="1416" spans="1:4" hidden="1" x14ac:dyDescent="0.2">
      <c r="A1416">
        <v>2022</v>
      </c>
      <c r="B1416" t="s">
        <v>423</v>
      </c>
      <c r="C1416" t="s">
        <v>366</v>
      </c>
      <c r="D1416">
        <v>217</v>
      </c>
    </row>
    <row r="1417" spans="1:4" hidden="1" x14ac:dyDescent="0.2">
      <c r="A1417">
        <v>2022</v>
      </c>
      <c r="B1417" t="s">
        <v>423</v>
      </c>
      <c r="C1417" t="s">
        <v>367</v>
      </c>
      <c r="D1417">
        <v>131</v>
      </c>
    </row>
    <row r="1418" spans="1:4" hidden="1" x14ac:dyDescent="0.2">
      <c r="A1418">
        <v>2022</v>
      </c>
      <c r="B1418" t="s">
        <v>423</v>
      </c>
      <c r="C1418" t="s">
        <v>368</v>
      </c>
      <c r="D1418">
        <v>52</v>
      </c>
    </row>
    <row r="1419" spans="1:4" hidden="1" x14ac:dyDescent="0.2">
      <c r="A1419">
        <v>2022</v>
      </c>
      <c r="B1419" t="s">
        <v>423</v>
      </c>
      <c r="C1419" t="s">
        <v>364</v>
      </c>
      <c r="D1419">
        <v>317</v>
      </c>
    </row>
    <row r="1420" spans="1:4" hidden="1" x14ac:dyDescent="0.2">
      <c r="A1420">
        <v>2022</v>
      </c>
      <c r="B1420" t="s">
        <v>424</v>
      </c>
      <c r="C1420" t="s">
        <v>365</v>
      </c>
      <c r="D1420">
        <v>510</v>
      </c>
    </row>
    <row r="1421" spans="1:4" hidden="1" x14ac:dyDescent="0.2">
      <c r="A1421">
        <v>2022</v>
      </c>
      <c r="B1421" t="s">
        <v>494</v>
      </c>
      <c r="C1421" t="s">
        <v>365</v>
      </c>
      <c r="D1421">
        <v>1</v>
      </c>
    </row>
    <row r="1422" spans="1:4" hidden="1" x14ac:dyDescent="0.2">
      <c r="A1422">
        <v>2022</v>
      </c>
      <c r="B1422" t="s">
        <v>495</v>
      </c>
      <c r="C1422" t="s">
        <v>366</v>
      </c>
      <c r="D1422">
        <v>1</v>
      </c>
    </row>
    <row r="1423" spans="1:4" hidden="1" x14ac:dyDescent="0.2">
      <c r="A1423">
        <v>2022</v>
      </c>
      <c r="B1423" t="s">
        <v>495</v>
      </c>
      <c r="C1423" t="s">
        <v>368</v>
      </c>
      <c r="D1423">
        <v>1</v>
      </c>
    </row>
    <row r="1424" spans="1:4" hidden="1" x14ac:dyDescent="0.2">
      <c r="A1424">
        <v>2022</v>
      </c>
      <c r="B1424" t="s">
        <v>425</v>
      </c>
      <c r="C1424" t="s">
        <v>365</v>
      </c>
      <c r="D1424">
        <v>540</v>
      </c>
    </row>
    <row r="1425" spans="1:4" hidden="1" x14ac:dyDescent="0.2">
      <c r="A1425">
        <v>2022</v>
      </c>
      <c r="B1425" t="s">
        <v>425</v>
      </c>
      <c r="C1425" t="s">
        <v>366</v>
      </c>
      <c r="D1425">
        <v>3028</v>
      </c>
    </row>
    <row r="1426" spans="1:4" hidden="1" x14ac:dyDescent="0.2">
      <c r="A1426">
        <v>2022</v>
      </c>
      <c r="B1426" t="s">
        <v>425</v>
      </c>
      <c r="C1426" t="s">
        <v>367</v>
      </c>
      <c r="D1426">
        <v>3</v>
      </c>
    </row>
    <row r="1427" spans="1:4" hidden="1" x14ac:dyDescent="0.2">
      <c r="A1427">
        <v>2022</v>
      </c>
      <c r="B1427" t="s">
        <v>425</v>
      </c>
      <c r="C1427" t="s">
        <v>364</v>
      </c>
      <c r="D1427">
        <v>13</v>
      </c>
    </row>
    <row r="1428" spans="1:4" hidden="1" x14ac:dyDescent="0.2">
      <c r="A1428">
        <v>2022</v>
      </c>
      <c r="B1428" t="s">
        <v>496</v>
      </c>
      <c r="C1428" t="s">
        <v>365</v>
      </c>
      <c r="D1428">
        <v>4</v>
      </c>
    </row>
    <row r="1429" spans="1:4" hidden="1" x14ac:dyDescent="0.2">
      <c r="A1429">
        <v>2022</v>
      </c>
      <c r="B1429" t="s">
        <v>426</v>
      </c>
      <c r="C1429" t="s">
        <v>365</v>
      </c>
      <c r="D1429">
        <v>669</v>
      </c>
    </row>
    <row r="1430" spans="1:4" hidden="1" x14ac:dyDescent="0.2">
      <c r="A1430">
        <v>2022</v>
      </c>
      <c r="B1430" t="s">
        <v>427</v>
      </c>
      <c r="C1430" t="s">
        <v>365</v>
      </c>
      <c r="D1430">
        <v>13</v>
      </c>
    </row>
    <row r="1431" spans="1:4" hidden="1" x14ac:dyDescent="0.2">
      <c r="A1431">
        <v>2022</v>
      </c>
      <c r="B1431" t="s">
        <v>465</v>
      </c>
      <c r="C1431" t="s">
        <v>365</v>
      </c>
      <c r="D1431">
        <v>5</v>
      </c>
    </row>
    <row r="1432" spans="1:4" hidden="1" x14ac:dyDescent="0.2">
      <c r="A1432">
        <v>2022</v>
      </c>
      <c r="B1432" t="s">
        <v>497</v>
      </c>
      <c r="C1432" t="s">
        <v>365</v>
      </c>
      <c r="D1432">
        <v>1</v>
      </c>
    </row>
    <row r="1433" spans="1:4" hidden="1" x14ac:dyDescent="0.2">
      <c r="A1433">
        <v>2022</v>
      </c>
      <c r="B1433" t="s">
        <v>428</v>
      </c>
      <c r="C1433" t="s">
        <v>365</v>
      </c>
      <c r="D1433">
        <v>76</v>
      </c>
    </row>
    <row r="1434" spans="1:4" hidden="1" x14ac:dyDescent="0.2">
      <c r="A1434">
        <v>2022</v>
      </c>
      <c r="B1434" t="s">
        <v>429</v>
      </c>
      <c r="C1434" t="s">
        <v>365</v>
      </c>
      <c r="D1434">
        <v>1191</v>
      </c>
    </row>
    <row r="1435" spans="1:4" hidden="1" x14ac:dyDescent="0.2">
      <c r="A1435">
        <v>2022</v>
      </c>
      <c r="B1435" t="s">
        <v>429</v>
      </c>
      <c r="C1435" t="s">
        <v>366</v>
      </c>
      <c r="D1435">
        <v>54</v>
      </c>
    </row>
    <row r="1436" spans="1:4" hidden="1" x14ac:dyDescent="0.2">
      <c r="A1436">
        <v>2022</v>
      </c>
      <c r="B1436" t="s">
        <v>429</v>
      </c>
      <c r="C1436" t="s">
        <v>367</v>
      </c>
      <c r="D1436">
        <v>28</v>
      </c>
    </row>
    <row r="1437" spans="1:4" hidden="1" x14ac:dyDescent="0.2">
      <c r="A1437">
        <v>2022</v>
      </c>
      <c r="B1437" t="s">
        <v>457</v>
      </c>
      <c r="C1437" t="s">
        <v>365</v>
      </c>
      <c r="D1437">
        <v>5</v>
      </c>
    </row>
    <row r="1438" spans="1:4" hidden="1" x14ac:dyDescent="0.2">
      <c r="A1438">
        <v>2022</v>
      </c>
      <c r="B1438" t="s">
        <v>430</v>
      </c>
      <c r="C1438" t="s">
        <v>365</v>
      </c>
      <c r="D1438">
        <v>2507</v>
      </c>
    </row>
    <row r="1439" spans="1:4" hidden="1" x14ac:dyDescent="0.2">
      <c r="A1439">
        <v>2022</v>
      </c>
      <c r="B1439" t="s">
        <v>430</v>
      </c>
      <c r="C1439" t="s">
        <v>366</v>
      </c>
      <c r="D1439">
        <v>5</v>
      </c>
    </row>
    <row r="1440" spans="1:4" hidden="1" x14ac:dyDescent="0.2">
      <c r="A1440">
        <v>2022</v>
      </c>
      <c r="B1440" t="s">
        <v>430</v>
      </c>
      <c r="C1440" t="s">
        <v>367</v>
      </c>
      <c r="D1440">
        <v>146</v>
      </c>
    </row>
    <row r="1441" spans="1:4" hidden="1" x14ac:dyDescent="0.2">
      <c r="A1441">
        <v>2022</v>
      </c>
      <c r="B1441" t="s">
        <v>462</v>
      </c>
      <c r="C1441" t="s">
        <v>365</v>
      </c>
      <c r="D1441">
        <v>7</v>
      </c>
    </row>
    <row r="1442" spans="1:4" hidden="1" x14ac:dyDescent="0.2">
      <c r="A1442">
        <v>2022</v>
      </c>
      <c r="B1442" t="s">
        <v>462</v>
      </c>
      <c r="C1442" t="s">
        <v>364</v>
      </c>
      <c r="D1442">
        <v>7</v>
      </c>
    </row>
    <row r="1443" spans="1:4" hidden="1" x14ac:dyDescent="0.2">
      <c r="A1443">
        <v>2022</v>
      </c>
      <c r="B1443" t="s">
        <v>431</v>
      </c>
      <c r="C1443" t="s">
        <v>365</v>
      </c>
      <c r="D1443">
        <v>594</v>
      </c>
    </row>
    <row r="1444" spans="1:4" hidden="1" x14ac:dyDescent="0.2">
      <c r="A1444">
        <v>2022</v>
      </c>
      <c r="B1444" t="s">
        <v>431</v>
      </c>
      <c r="C1444" t="s">
        <v>366</v>
      </c>
      <c r="D1444">
        <v>912</v>
      </c>
    </row>
    <row r="1445" spans="1:4" hidden="1" x14ac:dyDescent="0.2">
      <c r="A1445">
        <v>2022</v>
      </c>
      <c r="B1445" t="s">
        <v>431</v>
      </c>
      <c r="C1445" t="s">
        <v>369</v>
      </c>
      <c r="D1445">
        <v>1</v>
      </c>
    </row>
    <row r="1446" spans="1:4" hidden="1" x14ac:dyDescent="0.2">
      <c r="A1446">
        <v>2022</v>
      </c>
      <c r="B1446" t="s">
        <v>498</v>
      </c>
      <c r="C1446" t="s">
        <v>365</v>
      </c>
      <c r="D1446">
        <v>1</v>
      </c>
    </row>
    <row r="1447" spans="1:4" hidden="1" x14ac:dyDescent="0.2">
      <c r="A1447">
        <v>2022</v>
      </c>
      <c r="B1447" t="s">
        <v>499</v>
      </c>
      <c r="C1447" t="s">
        <v>365</v>
      </c>
      <c r="D1447">
        <v>1</v>
      </c>
    </row>
    <row r="1448" spans="1:4" hidden="1" x14ac:dyDescent="0.2">
      <c r="A1448">
        <v>2022</v>
      </c>
      <c r="B1448" t="s">
        <v>432</v>
      </c>
      <c r="C1448" t="s">
        <v>365</v>
      </c>
      <c r="D1448">
        <v>14835</v>
      </c>
    </row>
    <row r="1449" spans="1:4" hidden="1" x14ac:dyDescent="0.2">
      <c r="A1449">
        <v>2022</v>
      </c>
      <c r="B1449" t="s">
        <v>432</v>
      </c>
      <c r="C1449" t="s">
        <v>367</v>
      </c>
      <c r="D1449">
        <v>148</v>
      </c>
    </row>
    <row r="1450" spans="1:4" hidden="1" x14ac:dyDescent="0.2">
      <c r="A1450">
        <v>2022</v>
      </c>
      <c r="B1450" t="s">
        <v>433</v>
      </c>
      <c r="C1450" t="s">
        <v>365</v>
      </c>
      <c r="D1450">
        <v>6</v>
      </c>
    </row>
    <row r="1451" spans="1:4" hidden="1" x14ac:dyDescent="0.2">
      <c r="A1451">
        <v>2022</v>
      </c>
      <c r="B1451" t="s">
        <v>434</v>
      </c>
      <c r="C1451" t="s">
        <v>365</v>
      </c>
      <c r="D1451">
        <v>5212</v>
      </c>
    </row>
    <row r="1452" spans="1:4" hidden="1" x14ac:dyDescent="0.2">
      <c r="A1452">
        <v>2022</v>
      </c>
      <c r="B1452" t="s">
        <v>434</v>
      </c>
      <c r="C1452" t="s">
        <v>367</v>
      </c>
      <c r="D1452">
        <v>390</v>
      </c>
    </row>
    <row r="1453" spans="1:4" hidden="1" x14ac:dyDescent="0.2">
      <c r="A1453">
        <v>2022</v>
      </c>
      <c r="B1453" t="s">
        <v>500</v>
      </c>
      <c r="C1453" t="s">
        <v>365</v>
      </c>
      <c r="D1453">
        <v>2</v>
      </c>
    </row>
    <row r="1454" spans="1:4" hidden="1" x14ac:dyDescent="0.2">
      <c r="A1454">
        <v>2022</v>
      </c>
      <c r="B1454" t="s">
        <v>501</v>
      </c>
      <c r="C1454" t="s">
        <v>365</v>
      </c>
      <c r="D1454">
        <v>1</v>
      </c>
    </row>
    <row r="1455" spans="1:4" hidden="1" x14ac:dyDescent="0.2">
      <c r="A1455">
        <v>2022</v>
      </c>
      <c r="B1455" t="s">
        <v>442</v>
      </c>
      <c r="C1455" t="s">
        <v>365</v>
      </c>
      <c r="D1455">
        <v>6</v>
      </c>
    </row>
    <row r="1456" spans="1:4" hidden="1" x14ac:dyDescent="0.2">
      <c r="A1456">
        <v>2022</v>
      </c>
      <c r="B1456" t="s">
        <v>463</v>
      </c>
      <c r="C1456" t="s">
        <v>364</v>
      </c>
      <c r="D1456">
        <v>1840</v>
      </c>
    </row>
    <row r="1457" spans="1:4" hidden="1" x14ac:dyDescent="0.2">
      <c r="A1457">
        <v>2022</v>
      </c>
      <c r="B1457" t="s">
        <v>502</v>
      </c>
      <c r="C1457" t="s">
        <v>366</v>
      </c>
      <c r="D1457">
        <v>1</v>
      </c>
    </row>
    <row r="1458" spans="1:4" hidden="1" x14ac:dyDescent="0.2">
      <c r="A1458">
        <v>2022</v>
      </c>
      <c r="B1458" t="s">
        <v>435</v>
      </c>
      <c r="C1458" t="s">
        <v>365</v>
      </c>
      <c r="D1458">
        <v>115642</v>
      </c>
    </row>
    <row r="1459" spans="1:4" hidden="1" x14ac:dyDescent="0.2">
      <c r="A1459">
        <v>2022</v>
      </c>
      <c r="B1459" t="s">
        <v>435</v>
      </c>
      <c r="C1459" t="s">
        <v>366</v>
      </c>
      <c r="D1459">
        <v>68</v>
      </c>
    </row>
    <row r="1460" spans="1:4" hidden="1" x14ac:dyDescent="0.2">
      <c r="A1460">
        <v>2022</v>
      </c>
      <c r="B1460" t="s">
        <v>435</v>
      </c>
      <c r="C1460" t="s">
        <v>367</v>
      </c>
      <c r="D1460">
        <v>29657</v>
      </c>
    </row>
    <row r="1461" spans="1:4" hidden="1" x14ac:dyDescent="0.2">
      <c r="A1461">
        <v>2022</v>
      </c>
      <c r="B1461" t="s">
        <v>435</v>
      </c>
      <c r="C1461" t="s">
        <v>368</v>
      </c>
      <c r="D1461">
        <v>10</v>
      </c>
    </row>
    <row r="1462" spans="1:4" hidden="1" x14ac:dyDescent="0.2">
      <c r="A1462">
        <v>2022</v>
      </c>
      <c r="B1462" t="s">
        <v>435</v>
      </c>
      <c r="C1462" t="s">
        <v>369</v>
      </c>
      <c r="D1462">
        <v>42</v>
      </c>
    </row>
    <row r="1463" spans="1:4" hidden="1" x14ac:dyDescent="0.2">
      <c r="A1463">
        <v>2022</v>
      </c>
      <c r="B1463" t="s">
        <v>435</v>
      </c>
      <c r="C1463" t="s">
        <v>364</v>
      </c>
      <c r="D1463">
        <v>15</v>
      </c>
    </row>
    <row r="1464" spans="1:4" hidden="1" x14ac:dyDescent="0.2">
      <c r="A1464">
        <v>2022</v>
      </c>
      <c r="B1464" t="s">
        <v>436</v>
      </c>
      <c r="C1464" t="s">
        <v>365</v>
      </c>
      <c r="D1464">
        <v>44</v>
      </c>
    </row>
    <row r="1465" spans="1:4" hidden="1" x14ac:dyDescent="0.2">
      <c r="A1465">
        <v>2022</v>
      </c>
      <c r="B1465" t="s">
        <v>503</v>
      </c>
      <c r="C1465" t="s">
        <v>365</v>
      </c>
      <c r="D1465">
        <v>1</v>
      </c>
    </row>
    <row r="1466" spans="1:4" hidden="1" x14ac:dyDescent="0.2">
      <c r="A1466">
        <v>2022</v>
      </c>
      <c r="B1466" t="s">
        <v>504</v>
      </c>
      <c r="C1466" t="s">
        <v>365</v>
      </c>
      <c r="D1466">
        <v>1</v>
      </c>
    </row>
    <row r="1467" spans="1:4" hidden="1" x14ac:dyDescent="0.2">
      <c r="A1467">
        <v>2022</v>
      </c>
      <c r="B1467" t="s">
        <v>505</v>
      </c>
      <c r="C1467" t="s">
        <v>365</v>
      </c>
      <c r="D1467">
        <v>1</v>
      </c>
    </row>
    <row r="1468" spans="1:4" hidden="1" x14ac:dyDescent="0.2">
      <c r="A1468">
        <v>2022</v>
      </c>
      <c r="B1468" t="s">
        <v>437</v>
      </c>
      <c r="C1468" t="s">
        <v>365</v>
      </c>
      <c r="D1468">
        <v>20493</v>
      </c>
    </row>
    <row r="1469" spans="1:4" hidden="1" x14ac:dyDescent="0.2">
      <c r="A1469">
        <v>2022</v>
      </c>
      <c r="B1469" t="s">
        <v>437</v>
      </c>
      <c r="C1469" t="s">
        <v>366</v>
      </c>
      <c r="D1469">
        <v>439</v>
      </c>
    </row>
    <row r="1470" spans="1:4" hidden="1" x14ac:dyDescent="0.2">
      <c r="A1470">
        <v>2022</v>
      </c>
      <c r="B1470" t="s">
        <v>437</v>
      </c>
      <c r="C1470" t="s">
        <v>367</v>
      </c>
      <c r="D1470">
        <v>193</v>
      </c>
    </row>
    <row r="1471" spans="1:4" hidden="1" x14ac:dyDescent="0.2">
      <c r="A1471">
        <v>2022</v>
      </c>
      <c r="B1471" t="s">
        <v>437</v>
      </c>
      <c r="C1471" t="s">
        <v>364</v>
      </c>
      <c r="D1471">
        <v>10</v>
      </c>
    </row>
    <row r="1472" spans="1:4" hidden="1" x14ac:dyDescent="0.2">
      <c r="A1472">
        <v>2022</v>
      </c>
      <c r="B1472" t="s">
        <v>438</v>
      </c>
      <c r="C1472" t="s">
        <v>365</v>
      </c>
      <c r="D1472">
        <v>7963</v>
      </c>
    </row>
    <row r="1473" spans="1:4" hidden="1" x14ac:dyDescent="0.2">
      <c r="A1473">
        <v>2022</v>
      </c>
      <c r="B1473" t="s">
        <v>438</v>
      </c>
      <c r="C1473" t="s">
        <v>366</v>
      </c>
      <c r="D1473">
        <v>1004</v>
      </c>
    </row>
    <row r="1474" spans="1:4" hidden="1" x14ac:dyDescent="0.2">
      <c r="A1474">
        <v>2022</v>
      </c>
      <c r="B1474" t="s">
        <v>438</v>
      </c>
      <c r="C1474" t="s">
        <v>367</v>
      </c>
      <c r="D1474">
        <v>345</v>
      </c>
    </row>
    <row r="1475" spans="1:4" hidden="1" x14ac:dyDescent="0.2">
      <c r="A1475">
        <v>2022</v>
      </c>
      <c r="B1475" t="s">
        <v>438</v>
      </c>
      <c r="C1475" t="s">
        <v>368</v>
      </c>
      <c r="D1475">
        <v>66</v>
      </c>
    </row>
    <row r="1476" spans="1:4" hidden="1" x14ac:dyDescent="0.2">
      <c r="A1476">
        <v>2022</v>
      </c>
      <c r="B1476" t="s">
        <v>438</v>
      </c>
      <c r="C1476" t="s">
        <v>364</v>
      </c>
      <c r="D1476">
        <v>63</v>
      </c>
    </row>
    <row r="1477" spans="1:4" hidden="1" x14ac:dyDescent="0.2">
      <c r="A1477">
        <v>2022</v>
      </c>
      <c r="B1477" t="s">
        <v>506</v>
      </c>
      <c r="C1477" t="s">
        <v>365</v>
      </c>
      <c r="D1477">
        <v>2</v>
      </c>
    </row>
    <row r="1478" spans="1:4" hidden="1" x14ac:dyDescent="0.2">
      <c r="A1478">
        <v>2022</v>
      </c>
      <c r="B1478" t="s">
        <v>449</v>
      </c>
      <c r="C1478" t="s">
        <v>365</v>
      </c>
      <c r="D1478">
        <v>1</v>
      </c>
    </row>
    <row r="1479" spans="1:4" hidden="1" x14ac:dyDescent="0.2">
      <c r="A1479">
        <v>2022</v>
      </c>
      <c r="B1479" t="s">
        <v>450</v>
      </c>
      <c r="C1479" t="s">
        <v>365</v>
      </c>
      <c r="D1479">
        <v>4</v>
      </c>
    </row>
    <row r="1480" spans="1:4" hidden="1" x14ac:dyDescent="0.2">
      <c r="A1480">
        <v>2023</v>
      </c>
      <c r="B1480" t="s">
        <v>379</v>
      </c>
      <c r="C1480" t="s">
        <v>365</v>
      </c>
      <c r="D1480">
        <v>458</v>
      </c>
    </row>
    <row r="1481" spans="1:4" hidden="1" x14ac:dyDescent="0.2">
      <c r="A1481">
        <v>2023</v>
      </c>
      <c r="B1481" t="s">
        <v>379</v>
      </c>
      <c r="C1481" t="s">
        <v>367</v>
      </c>
      <c r="D1481">
        <v>3</v>
      </c>
    </row>
    <row r="1482" spans="1:4" hidden="1" x14ac:dyDescent="0.2">
      <c r="A1482">
        <v>2023</v>
      </c>
      <c r="B1482" t="s">
        <v>456</v>
      </c>
      <c r="C1482" t="s">
        <v>365</v>
      </c>
      <c r="D1482">
        <v>48</v>
      </c>
    </row>
    <row r="1483" spans="1:4" hidden="1" x14ac:dyDescent="0.2">
      <c r="A1483">
        <v>2023</v>
      </c>
      <c r="B1483" t="s">
        <v>456</v>
      </c>
      <c r="C1483" t="s">
        <v>366</v>
      </c>
      <c r="D1483">
        <v>19</v>
      </c>
    </row>
    <row r="1484" spans="1:4" hidden="1" x14ac:dyDescent="0.2">
      <c r="A1484">
        <v>2023</v>
      </c>
      <c r="B1484" t="s">
        <v>464</v>
      </c>
      <c r="C1484" t="s">
        <v>365</v>
      </c>
      <c r="D1484">
        <v>45</v>
      </c>
    </row>
    <row r="1485" spans="1:4" hidden="1" x14ac:dyDescent="0.2">
      <c r="A1485">
        <v>2023</v>
      </c>
      <c r="B1485" t="s">
        <v>467</v>
      </c>
      <c r="C1485" t="s">
        <v>365</v>
      </c>
      <c r="D1485">
        <v>2</v>
      </c>
    </row>
    <row r="1486" spans="1:4" hidden="1" x14ac:dyDescent="0.2">
      <c r="A1486">
        <v>2023</v>
      </c>
      <c r="B1486" t="s">
        <v>468</v>
      </c>
      <c r="C1486" t="s">
        <v>365</v>
      </c>
      <c r="D1486">
        <v>1</v>
      </c>
    </row>
    <row r="1487" spans="1:4" hidden="1" x14ac:dyDescent="0.2">
      <c r="A1487">
        <v>2023</v>
      </c>
      <c r="B1487" t="s">
        <v>380</v>
      </c>
      <c r="C1487" t="s">
        <v>365</v>
      </c>
      <c r="D1487">
        <v>292</v>
      </c>
    </row>
    <row r="1488" spans="1:4" hidden="1" x14ac:dyDescent="0.2">
      <c r="A1488">
        <v>2023</v>
      </c>
      <c r="B1488" t="s">
        <v>381</v>
      </c>
      <c r="C1488" t="s">
        <v>365</v>
      </c>
      <c r="D1488">
        <v>18425</v>
      </c>
    </row>
    <row r="1489" spans="1:4" hidden="1" x14ac:dyDescent="0.2">
      <c r="A1489">
        <v>2023</v>
      </c>
      <c r="B1489" t="s">
        <v>381</v>
      </c>
      <c r="C1489" t="s">
        <v>366</v>
      </c>
      <c r="D1489">
        <v>16</v>
      </c>
    </row>
    <row r="1490" spans="1:4" hidden="1" x14ac:dyDescent="0.2">
      <c r="A1490">
        <v>2023</v>
      </c>
      <c r="B1490" t="s">
        <v>381</v>
      </c>
      <c r="C1490" t="s">
        <v>367</v>
      </c>
      <c r="D1490">
        <v>2983</v>
      </c>
    </row>
    <row r="1491" spans="1:4" hidden="1" x14ac:dyDescent="0.2">
      <c r="A1491">
        <v>2023</v>
      </c>
      <c r="B1491" t="s">
        <v>381</v>
      </c>
      <c r="C1491" t="s">
        <v>368</v>
      </c>
      <c r="D1491">
        <v>23</v>
      </c>
    </row>
    <row r="1492" spans="1:4" hidden="1" x14ac:dyDescent="0.2">
      <c r="A1492">
        <v>2023</v>
      </c>
      <c r="B1492" t="s">
        <v>381</v>
      </c>
      <c r="C1492" t="s">
        <v>364</v>
      </c>
      <c r="D1492">
        <v>224</v>
      </c>
    </row>
    <row r="1493" spans="1:4" hidden="1" x14ac:dyDescent="0.2">
      <c r="A1493">
        <v>2023</v>
      </c>
      <c r="B1493" t="s">
        <v>381</v>
      </c>
      <c r="C1493" t="s">
        <v>370</v>
      </c>
      <c r="D1493">
        <v>4</v>
      </c>
    </row>
    <row r="1494" spans="1:4" hidden="1" x14ac:dyDescent="0.2">
      <c r="A1494">
        <v>2023</v>
      </c>
      <c r="B1494" t="s">
        <v>382</v>
      </c>
      <c r="C1494" t="s">
        <v>365</v>
      </c>
      <c r="D1494">
        <v>157</v>
      </c>
    </row>
    <row r="1495" spans="1:4" hidden="1" x14ac:dyDescent="0.2">
      <c r="A1495">
        <v>2023</v>
      </c>
      <c r="B1495" t="s">
        <v>382</v>
      </c>
      <c r="C1495" t="s">
        <v>366</v>
      </c>
      <c r="D1495">
        <v>1</v>
      </c>
    </row>
    <row r="1496" spans="1:4" hidden="1" x14ac:dyDescent="0.2">
      <c r="A1496">
        <v>2023</v>
      </c>
      <c r="B1496" t="s">
        <v>469</v>
      </c>
      <c r="C1496" t="s">
        <v>365</v>
      </c>
      <c r="D1496">
        <v>1</v>
      </c>
    </row>
    <row r="1497" spans="1:4" hidden="1" x14ac:dyDescent="0.2">
      <c r="A1497">
        <v>2023</v>
      </c>
      <c r="B1497" t="s">
        <v>383</v>
      </c>
      <c r="C1497" t="s">
        <v>365</v>
      </c>
      <c r="D1497">
        <v>42384</v>
      </c>
    </row>
    <row r="1498" spans="1:4" hidden="1" x14ac:dyDescent="0.2">
      <c r="A1498">
        <v>2023</v>
      </c>
      <c r="B1498" t="s">
        <v>383</v>
      </c>
      <c r="C1498" t="s">
        <v>366</v>
      </c>
      <c r="D1498">
        <v>4588</v>
      </c>
    </row>
    <row r="1499" spans="1:4" hidden="1" x14ac:dyDescent="0.2">
      <c r="A1499">
        <v>2023</v>
      </c>
      <c r="B1499" t="s">
        <v>383</v>
      </c>
      <c r="C1499" t="s">
        <v>367</v>
      </c>
      <c r="D1499">
        <v>2083</v>
      </c>
    </row>
    <row r="1500" spans="1:4" hidden="1" x14ac:dyDescent="0.2">
      <c r="A1500">
        <v>2023</v>
      </c>
      <c r="B1500" t="s">
        <v>383</v>
      </c>
      <c r="C1500" t="s">
        <v>368</v>
      </c>
      <c r="D1500">
        <v>513</v>
      </c>
    </row>
    <row r="1501" spans="1:4" hidden="1" x14ac:dyDescent="0.2">
      <c r="A1501">
        <v>2023</v>
      </c>
      <c r="B1501" t="s">
        <v>383</v>
      </c>
      <c r="C1501" t="s">
        <v>364</v>
      </c>
      <c r="D1501">
        <v>1425</v>
      </c>
    </row>
    <row r="1502" spans="1:4" hidden="1" x14ac:dyDescent="0.2">
      <c r="A1502">
        <v>2023</v>
      </c>
      <c r="B1502" t="s">
        <v>383</v>
      </c>
      <c r="C1502" t="s">
        <v>370</v>
      </c>
      <c r="D1502">
        <v>1</v>
      </c>
    </row>
    <row r="1503" spans="1:4" hidden="1" x14ac:dyDescent="0.2">
      <c r="A1503">
        <v>2023</v>
      </c>
      <c r="B1503" t="s">
        <v>470</v>
      </c>
      <c r="C1503" t="s">
        <v>365</v>
      </c>
      <c r="D1503">
        <v>1</v>
      </c>
    </row>
    <row r="1504" spans="1:4" hidden="1" x14ac:dyDescent="0.2">
      <c r="A1504">
        <v>2023</v>
      </c>
      <c r="B1504" t="s">
        <v>384</v>
      </c>
      <c r="C1504" t="s">
        <v>365</v>
      </c>
      <c r="D1504">
        <v>1016</v>
      </c>
    </row>
    <row r="1505" spans="1:4" hidden="1" x14ac:dyDescent="0.2">
      <c r="A1505">
        <v>2023</v>
      </c>
      <c r="B1505" t="s">
        <v>384</v>
      </c>
      <c r="C1505" t="s">
        <v>366</v>
      </c>
      <c r="D1505">
        <v>19</v>
      </c>
    </row>
    <row r="1506" spans="1:4" hidden="1" x14ac:dyDescent="0.2">
      <c r="A1506">
        <v>2023</v>
      </c>
      <c r="B1506" t="s">
        <v>384</v>
      </c>
      <c r="C1506" t="s">
        <v>368</v>
      </c>
      <c r="D1506">
        <v>4</v>
      </c>
    </row>
    <row r="1507" spans="1:4" hidden="1" x14ac:dyDescent="0.2">
      <c r="A1507">
        <v>2023</v>
      </c>
      <c r="B1507" t="s">
        <v>471</v>
      </c>
      <c r="C1507" t="s">
        <v>365</v>
      </c>
      <c r="D1507">
        <v>1</v>
      </c>
    </row>
    <row r="1508" spans="1:4" hidden="1" x14ac:dyDescent="0.2">
      <c r="A1508">
        <v>2023</v>
      </c>
      <c r="B1508" t="s">
        <v>472</v>
      </c>
      <c r="C1508" t="s">
        <v>365</v>
      </c>
      <c r="D1508">
        <v>1</v>
      </c>
    </row>
    <row r="1509" spans="1:4" hidden="1" x14ac:dyDescent="0.2">
      <c r="A1509">
        <v>2023</v>
      </c>
      <c r="B1509" t="s">
        <v>460</v>
      </c>
      <c r="C1509" t="s">
        <v>364</v>
      </c>
      <c r="D1509">
        <v>783</v>
      </c>
    </row>
    <row r="1510" spans="1:4" hidden="1" x14ac:dyDescent="0.2">
      <c r="A1510">
        <v>2023</v>
      </c>
      <c r="B1510" t="s">
        <v>473</v>
      </c>
      <c r="C1510" t="s">
        <v>365</v>
      </c>
      <c r="D1510">
        <v>4</v>
      </c>
    </row>
    <row r="1511" spans="1:4" hidden="1" x14ac:dyDescent="0.2">
      <c r="A1511">
        <v>2023</v>
      </c>
      <c r="B1511" t="s">
        <v>458</v>
      </c>
      <c r="C1511" t="s">
        <v>364</v>
      </c>
      <c r="D1511">
        <v>2399</v>
      </c>
    </row>
    <row r="1512" spans="1:4" hidden="1" x14ac:dyDescent="0.2">
      <c r="A1512">
        <v>2023</v>
      </c>
      <c r="B1512" t="s">
        <v>385</v>
      </c>
      <c r="C1512" t="s">
        <v>365</v>
      </c>
      <c r="D1512">
        <v>3</v>
      </c>
    </row>
    <row r="1513" spans="1:4" hidden="1" x14ac:dyDescent="0.2">
      <c r="A1513">
        <v>2023</v>
      </c>
      <c r="B1513" t="s">
        <v>474</v>
      </c>
      <c r="C1513" t="s">
        <v>365</v>
      </c>
      <c r="D1513">
        <v>1</v>
      </c>
    </row>
    <row r="1514" spans="1:4" hidden="1" x14ac:dyDescent="0.2">
      <c r="A1514">
        <v>2023</v>
      </c>
      <c r="B1514" t="s">
        <v>475</v>
      </c>
      <c r="C1514" t="s">
        <v>365</v>
      </c>
      <c r="D1514">
        <v>1</v>
      </c>
    </row>
    <row r="1515" spans="1:4" hidden="1" x14ac:dyDescent="0.2">
      <c r="A1515">
        <v>2023</v>
      </c>
      <c r="B1515" t="s">
        <v>439</v>
      </c>
      <c r="C1515" t="s">
        <v>365</v>
      </c>
      <c r="D1515">
        <v>32</v>
      </c>
    </row>
    <row r="1516" spans="1:4" hidden="1" x14ac:dyDescent="0.2">
      <c r="A1516">
        <v>2023</v>
      </c>
      <c r="B1516" t="s">
        <v>386</v>
      </c>
      <c r="C1516" t="s">
        <v>365</v>
      </c>
      <c r="D1516">
        <v>1902</v>
      </c>
    </row>
    <row r="1517" spans="1:4" hidden="1" x14ac:dyDescent="0.2">
      <c r="A1517">
        <v>2023</v>
      </c>
      <c r="B1517" t="s">
        <v>387</v>
      </c>
      <c r="C1517" t="s">
        <v>365</v>
      </c>
      <c r="D1517">
        <v>32</v>
      </c>
    </row>
    <row r="1518" spans="1:4" hidden="1" x14ac:dyDescent="0.2">
      <c r="A1518">
        <v>2023</v>
      </c>
      <c r="B1518" t="s">
        <v>387</v>
      </c>
      <c r="C1518" t="s">
        <v>366</v>
      </c>
      <c r="D1518">
        <v>10</v>
      </c>
    </row>
    <row r="1519" spans="1:4" hidden="1" x14ac:dyDescent="0.2">
      <c r="A1519">
        <v>2023</v>
      </c>
      <c r="B1519" t="s">
        <v>388</v>
      </c>
      <c r="C1519" t="s">
        <v>365</v>
      </c>
      <c r="D1519">
        <v>2168</v>
      </c>
    </row>
    <row r="1520" spans="1:4" hidden="1" x14ac:dyDescent="0.2">
      <c r="A1520">
        <v>2023</v>
      </c>
      <c r="B1520" t="s">
        <v>388</v>
      </c>
      <c r="C1520" t="s">
        <v>366</v>
      </c>
      <c r="D1520">
        <v>1741</v>
      </c>
    </row>
    <row r="1521" spans="1:4" hidden="1" x14ac:dyDescent="0.2">
      <c r="A1521">
        <v>2023</v>
      </c>
      <c r="B1521" t="s">
        <v>388</v>
      </c>
      <c r="C1521" t="s">
        <v>364</v>
      </c>
      <c r="D1521">
        <v>20</v>
      </c>
    </row>
    <row r="1522" spans="1:4" hidden="1" x14ac:dyDescent="0.2">
      <c r="A1522">
        <v>2023</v>
      </c>
      <c r="B1522" t="s">
        <v>388</v>
      </c>
      <c r="C1522" t="s">
        <v>370</v>
      </c>
      <c r="D1522">
        <v>3</v>
      </c>
    </row>
    <row r="1523" spans="1:4" hidden="1" x14ac:dyDescent="0.2">
      <c r="A1523">
        <v>2023</v>
      </c>
      <c r="B1523" t="s">
        <v>390</v>
      </c>
      <c r="C1523" t="s">
        <v>365</v>
      </c>
      <c r="D1523">
        <v>415</v>
      </c>
    </row>
    <row r="1524" spans="1:4" hidden="1" x14ac:dyDescent="0.2">
      <c r="A1524">
        <v>2023</v>
      </c>
      <c r="B1524" t="s">
        <v>391</v>
      </c>
      <c r="C1524" t="s">
        <v>365</v>
      </c>
      <c r="D1524">
        <v>21</v>
      </c>
    </row>
    <row r="1525" spans="1:4" hidden="1" x14ac:dyDescent="0.2">
      <c r="A1525">
        <v>2023</v>
      </c>
      <c r="B1525" t="s">
        <v>392</v>
      </c>
      <c r="C1525" t="s">
        <v>365</v>
      </c>
      <c r="D1525">
        <v>36</v>
      </c>
    </row>
    <row r="1526" spans="1:4" hidden="1" x14ac:dyDescent="0.2">
      <c r="A1526">
        <v>2023</v>
      </c>
      <c r="B1526" t="s">
        <v>476</v>
      </c>
      <c r="C1526" t="s">
        <v>365</v>
      </c>
      <c r="D1526">
        <v>1</v>
      </c>
    </row>
    <row r="1527" spans="1:4" hidden="1" x14ac:dyDescent="0.2">
      <c r="A1527">
        <v>2023</v>
      </c>
      <c r="B1527" t="s">
        <v>440</v>
      </c>
      <c r="C1527" t="s">
        <v>365</v>
      </c>
    </row>
    <row r="1528" spans="1:4" hidden="1" x14ac:dyDescent="0.2">
      <c r="A1528">
        <v>2023</v>
      </c>
      <c r="B1528" t="s">
        <v>443</v>
      </c>
      <c r="C1528" t="s">
        <v>365</v>
      </c>
      <c r="D1528">
        <v>4</v>
      </c>
    </row>
    <row r="1529" spans="1:4" hidden="1" x14ac:dyDescent="0.2">
      <c r="A1529">
        <v>2023</v>
      </c>
      <c r="B1529" t="s">
        <v>477</v>
      </c>
      <c r="C1529" t="s">
        <v>365</v>
      </c>
      <c r="D1529">
        <v>1</v>
      </c>
    </row>
    <row r="1530" spans="1:4" hidden="1" x14ac:dyDescent="0.2">
      <c r="A1530">
        <v>2023</v>
      </c>
      <c r="B1530" t="s">
        <v>393</v>
      </c>
      <c r="C1530" t="s">
        <v>365</v>
      </c>
      <c r="D1530">
        <v>896</v>
      </c>
    </row>
    <row r="1531" spans="1:4" hidden="1" x14ac:dyDescent="0.2">
      <c r="A1531">
        <v>2023</v>
      </c>
      <c r="B1531" t="s">
        <v>393</v>
      </c>
      <c r="C1531" t="s">
        <v>368</v>
      </c>
      <c r="D1531">
        <v>71</v>
      </c>
    </row>
    <row r="1532" spans="1:4" hidden="1" x14ac:dyDescent="0.2">
      <c r="A1532">
        <v>2023</v>
      </c>
      <c r="B1532" t="s">
        <v>394</v>
      </c>
      <c r="C1532" t="s">
        <v>365</v>
      </c>
      <c r="D1532">
        <v>155</v>
      </c>
    </row>
    <row r="1533" spans="1:4" hidden="1" x14ac:dyDescent="0.2">
      <c r="A1533">
        <v>2023</v>
      </c>
      <c r="B1533" t="s">
        <v>394</v>
      </c>
      <c r="C1533" t="s">
        <v>366</v>
      </c>
      <c r="D1533">
        <v>3</v>
      </c>
    </row>
    <row r="1534" spans="1:4" hidden="1" x14ac:dyDescent="0.2">
      <c r="A1534">
        <v>2023</v>
      </c>
      <c r="B1534" t="s">
        <v>394</v>
      </c>
      <c r="C1534" t="s">
        <v>364</v>
      </c>
      <c r="D1534">
        <v>5</v>
      </c>
    </row>
    <row r="1535" spans="1:4" hidden="1" x14ac:dyDescent="0.2">
      <c r="A1535">
        <v>2023</v>
      </c>
      <c r="B1535" t="s">
        <v>395</v>
      </c>
      <c r="C1535" t="s">
        <v>365</v>
      </c>
      <c r="D1535">
        <v>1270</v>
      </c>
    </row>
    <row r="1536" spans="1:4" hidden="1" x14ac:dyDescent="0.2">
      <c r="A1536">
        <v>2023</v>
      </c>
      <c r="B1536" t="s">
        <v>395</v>
      </c>
      <c r="C1536" t="s">
        <v>366</v>
      </c>
      <c r="D1536">
        <v>64</v>
      </c>
    </row>
    <row r="1537" spans="1:4" hidden="1" x14ac:dyDescent="0.2">
      <c r="A1537">
        <v>2023</v>
      </c>
      <c r="B1537" t="s">
        <v>395</v>
      </c>
      <c r="C1537" t="s">
        <v>364</v>
      </c>
      <c r="D1537">
        <v>1</v>
      </c>
    </row>
    <row r="1538" spans="1:4" hidden="1" x14ac:dyDescent="0.2">
      <c r="A1538">
        <v>2023</v>
      </c>
      <c r="B1538" t="s">
        <v>478</v>
      </c>
      <c r="C1538" t="s">
        <v>365</v>
      </c>
      <c r="D1538">
        <v>2</v>
      </c>
    </row>
    <row r="1539" spans="1:4" hidden="1" x14ac:dyDescent="0.2">
      <c r="A1539">
        <v>2023</v>
      </c>
      <c r="B1539" t="s">
        <v>441</v>
      </c>
      <c r="C1539" t="s">
        <v>365</v>
      </c>
      <c r="D1539">
        <v>3</v>
      </c>
    </row>
    <row r="1540" spans="1:4" hidden="1" x14ac:dyDescent="0.2">
      <c r="A1540">
        <v>2023</v>
      </c>
      <c r="B1540" t="s">
        <v>507</v>
      </c>
      <c r="C1540" t="s">
        <v>364</v>
      </c>
      <c r="D1540">
        <v>54</v>
      </c>
    </row>
    <row r="1541" spans="1:4" hidden="1" x14ac:dyDescent="0.2">
      <c r="A1541">
        <v>2023</v>
      </c>
      <c r="B1541" t="s">
        <v>444</v>
      </c>
      <c r="C1541" t="s">
        <v>365</v>
      </c>
      <c r="D1541">
        <v>2</v>
      </c>
    </row>
    <row r="1542" spans="1:4" hidden="1" x14ac:dyDescent="0.2">
      <c r="A1542">
        <v>2023</v>
      </c>
      <c r="B1542" t="s">
        <v>479</v>
      </c>
      <c r="C1542" t="s">
        <v>365</v>
      </c>
      <c r="D1542">
        <v>3</v>
      </c>
    </row>
    <row r="1543" spans="1:4" hidden="1" x14ac:dyDescent="0.2">
      <c r="A1543">
        <v>2023</v>
      </c>
      <c r="B1543" t="s">
        <v>396</v>
      </c>
      <c r="C1543" t="s">
        <v>365</v>
      </c>
      <c r="D1543">
        <v>1</v>
      </c>
    </row>
    <row r="1544" spans="1:4" hidden="1" x14ac:dyDescent="0.2">
      <c r="A1544">
        <v>2023</v>
      </c>
      <c r="B1544" t="s">
        <v>397</v>
      </c>
      <c r="C1544" t="s">
        <v>365</v>
      </c>
      <c r="D1544">
        <v>87626</v>
      </c>
    </row>
    <row r="1545" spans="1:4" hidden="1" x14ac:dyDescent="0.2">
      <c r="A1545">
        <v>2023</v>
      </c>
      <c r="B1545" t="s">
        <v>397</v>
      </c>
      <c r="C1545" t="s">
        <v>367</v>
      </c>
      <c r="D1545">
        <v>16350</v>
      </c>
    </row>
    <row r="1546" spans="1:4" hidden="1" x14ac:dyDescent="0.2">
      <c r="A1546">
        <v>2023</v>
      </c>
      <c r="B1546" t="s">
        <v>397</v>
      </c>
      <c r="C1546" t="s">
        <v>369</v>
      </c>
      <c r="D1546">
        <v>2</v>
      </c>
    </row>
    <row r="1547" spans="1:4" hidden="1" x14ac:dyDescent="0.2">
      <c r="A1547">
        <v>2023</v>
      </c>
      <c r="B1547" t="s">
        <v>397</v>
      </c>
      <c r="C1547" t="s">
        <v>364</v>
      </c>
      <c r="D1547">
        <v>39</v>
      </c>
    </row>
    <row r="1548" spans="1:4" hidden="1" x14ac:dyDescent="0.2">
      <c r="A1548">
        <v>2023</v>
      </c>
      <c r="B1548" t="s">
        <v>451</v>
      </c>
      <c r="C1548" t="s">
        <v>365</v>
      </c>
      <c r="D1548">
        <v>23</v>
      </c>
    </row>
    <row r="1549" spans="1:4" hidden="1" x14ac:dyDescent="0.2">
      <c r="A1549">
        <v>2023</v>
      </c>
      <c r="B1549" t="s">
        <v>398</v>
      </c>
      <c r="C1549" t="s">
        <v>365</v>
      </c>
      <c r="D1549">
        <v>31489</v>
      </c>
    </row>
    <row r="1550" spans="1:4" hidden="1" x14ac:dyDescent="0.2">
      <c r="A1550">
        <v>2023</v>
      </c>
      <c r="B1550" t="s">
        <v>398</v>
      </c>
      <c r="C1550" t="s">
        <v>366</v>
      </c>
      <c r="D1550">
        <v>105</v>
      </c>
    </row>
    <row r="1551" spans="1:4" hidden="1" x14ac:dyDescent="0.2">
      <c r="A1551">
        <v>2023</v>
      </c>
      <c r="B1551" t="s">
        <v>398</v>
      </c>
      <c r="C1551" t="s">
        <v>367</v>
      </c>
      <c r="D1551">
        <v>1786</v>
      </c>
    </row>
    <row r="1552" spans="1:4" hidden="1" x14ac:dyDescent="0.2">
      <c r="A1552">
        <v>2023</v>
      </c>
      <c r="B1552" t="s">
        <v>398</v>
      </c>
      <c r="C1552" t="s">
        <v>369</v>
      </c>
    </row>
    <row r="1553" spans="1:4" hidden="1" x14ac:dyDescent="0.2">
      <c r="A1553">
        <v>2023</v>
      </c>
      <c r="B1553" t="s">
        <v>398</v>
      </c>
      <c r="C1553" t="s">
        <v>364</v>
      </c>
      <c r="D1553">
        <v>1192</v>
      </c>
    </row>
    <row r="1554" spans="1:4" hidden="1" x14ac:dyDescent="0.2">
      <c r="A1554">
        <v>2023</v>
      </c>
      <c r="B1554" t="s">
        <v>453</v>
      </c>
      <c r="C1554" t="s">
        <v>365</v>
      </c>
      <c r="D1554">
        <v>1124</v>
      </c>
    </row>
    <row r="1555" spans="1:4" hidden="1" x14ac:dyDescent="0.2">
      <c r="A1555">
        <v>2023</v>
      </c>
      <c r="B1555" t="s">
        <v>453</v>
      </c>
      <c r="C1555" t="s">
        <v>366</v>
      </c>
      <c r="D1555">
        <v>202</v>
      </c>
    </row>
    <row r="1556" spans="1:4" hidden="1" x14ac:dyDescent="0.2">
      <c r="A1556">
        <v>2023</v>
      </c>
      <c r="B1556" t="s">
        <v>453</v>
      </c>
      <c r="C1556" t="s">
        <v>367</v>
      </c>
      <c r="D1556">
        <v>2</v>
      </c>
    </row>
    <row r="1557" spans="1:4" hidden="1" x14ac:dyDescent="0.2">
      <c r="A1557">
        <v>2023</v>
      </c>
      <c r="B1557" t="s">
        <v>480</v>
      </c>
      <c r="C1557" t="s">
        <v>365</v>
      </c>
      <c r="D1557">
        <v>1</v>
      </c>
    </row>
    <row r="1558" spans="1:4" hidden="1" x14ac:dyDescent="0.2">
      <c r="A1558">
        <v>2023</v>
      </c>
      <c r="B1558" t="s">
        <v>508</v>
      </c>
      <c r="C1558" t="s">
        <v>365</v>
      </c>
      <c r="D1558">
        <v>1</v>
      </c>
    </row>
    <row r="1559" spans="1:4" hidden="1" x14ac:dyDescent="0.2">
      <c r="A1559">
        <v>2023</v>
      </c>
      <c r="B1559" t="s">
        <v>400</v>
      </c>
      <c r="C1559" t="s">
        <v>365</v>
      </c>
      <c r="D1559">
        <v>2431</v>
      </c>
    </row>
    <row r="1560" spans="1:4" hidden="1" x14ac:dyDescent="0.2">
      <c r="A1560">
        <v>2023</v>
      </c>
      <c r="B1560" t="s">
        <v>400</v>
      </c>
      <c r="C1560" t="s">
        <v>366</v>
      </c>
      <c r="D1560">
        <v>528</v>
      </c>
    </row>
    <row r="1561" spans="1:4" hidden="1" x14ac:dyDescent="0.2">
      <c r="A1561">
        <v>2023</v>
      </c>
      <c r="B1561" t="s">
        <v>400</v>
      </c>
      <c r="C1561" t="s">
        <v>367</v>
      </c>
      <c r="D1561">
        <v>106</v>
      </c>
    </row>
    <row r="1562" spans="1:4" hidden="1" x14ac:dyDescent="0.2">
      <c r="A1562">
        <v>2023</v>
      </c>
      <c r="B1562" t="s">
        <v>400</v>
      </c>
      <c r="C1562" t="s">
        <v>364</v>
      </c>
      <c r="D1562">
        <v>49</v>
      </c>
    </row>
    <row r="1563" spans="1:4" hidden="1" x14ac:dyDescent="0.2">
      <c r="A1563">
        <v>2023</v>
      </c>
      <c r="B1563" t="s">
        <v>401</v>
      </c>
      <c r="C1563" t="s">
        <v>365</v>
      </c>
      <c r="D1563">
        <v>366</v>
      </c>
    </row>
    <row r="1564" spans="1:4" hidden="1" x14ac:dyDescent="0.2">
      <c r="A1564">
        <v>2023</v>
      </c>
      <c r="B1564" t="s">
        <v>401</v>
      </c>
      <c r="C1564" t="s">
        <v>366</v>
      </c>
      <c r="D1564">
        <v>8</v>
      </c>
    </row>
    <row r="1565" spans="1:4" hidden="1" x14ac:dyDescent="0.2">
      <c r="A1565">
        <v>2023</v>
      </c>
      <c r="B1565" t="s">
        <v>401</v>
      </c>
      <c r="C1565" t="s">
        <v>368</v>
      </c>
      <c r="D1565">
        <v>1</v>
      </c>
    </row>
    <row r="1566" spans="1:4" hidden="1" x14ac:dyDescent="0.2">
      <c r="A1566">
        <v>2023</v>
      </c>
      <c r="B1566" t="s">
        <v>481</v>
      </c>
      <c r="C1566" t="s">
        <v>365</v>
      </c>
      <c r="D1566">
        <v>1</v>
      </c>
    </row>
    <row r="1567" spans="1:4" hidden="1" x14ac:dyDescent="0.2">
      <c r="A1567">
        <v>2023</v>
      </c>
      <c r="B1567" t="s">
        <v>402</v>
      </c>
      <c r="C1567" t="s">
        <v>365</v>
      </c>
      <c r="D1567">
        <v>20141</v>
      </c>
    </row>
    <row r="1568" spans="1:4" hidden="1" x14ac:dyDescent="0.2">
      <c r="A1568">
        <v>2023</v>
      </c>
      <c r="B1568" t="s">
        <v>402</v>
      </c>
      <c r="C1568" t="s">
        <v>366</v>
      </c>
      <c r="D1568">
        <v>2463</v>
      </c>
    </row>
    <row r="1569" spans="1:4" hidden="1" x14ac:dyDescent="0.2">
      <c r="A1569">
        <v>2023</v>
      </c>
      <c r="B1569" t="s">
        <v>402</v>
      </c>
      <c r="C1569" t="s">
        <v>367</v>
      </c>
      <c r="D1569">
        <v>2459</v>
      </c>
    </row>
    <row r="1570" spans="1:4" hidden="1" x14ac:dyDescent="0.2">
      <c r="A1570">
        <v>2023</v>
      </c>
      <c r="B1570" t="s">
        <v>402</v>
      </c>
      <c r="C1570" t="s">
        <v>369</v>
      </c>
    </row>
    <row r="1571" spans="1:4" hidden="1" x14ac:dyDescent="0.2">
      <c r="A1571">
        <v>2023</v>
      </c>
      <c r="B1571" t="s">
        <v>402</v>
      </c>
      <c r="C1571" t="s">
        <v>364</v>
      </c>
      <c r="D1571">
        <v>71</v>
      </c>
    </row>
    <row r="1572" spans="1:4" hidden="1" x14ac:dyDescent="0.2">
      <c r="A1572">
        <v>2023</v>
      </c>
      <c r="B1572" t="s">
        <v>482</v>
      </c>
      <c r="C1572" t="s">
        <v>365</v>
      </c>
      <c r="D1572">
        <v>3</v>
      </c>
    </row>
    <row r="1573" spans="1:4" hidden="1" x14ac:dyDescent="0.2">
      <c r="A1573">
        <v>2023</v>
      </c>
      <c r="B1573" t="s">
        <v>483</v>
      </c>
      <c r="C1573" t="s">
        <v>365</v>
      </c>
      <c r="D1573">
        <v>2</v>
      </c>
    </row>
    <row r="1574" spans="1:4" hidden="1" x14ac:dyDescent="0.2">
      <c r="A1574">
        <v>2023</v>
      </c>
      <c r="B1574" t="s">
        <v>403</v>
      </c>
      <c r="C1574" t="s">
        <v>365</v>
      </c>
      <c r="D1574">
        <v>463</v>
      </c>
    </row>
    <row r="1575" spans="1:4" hidden="1" x14ac:dyDescent="0.2">
      <c r="A1575">
        <v>2023</v>
      </c>
      <c r="B1575" t="s">
        <v>404</v>
      </c>
      <c r="C1575" t="s">
        <v>365</v>
      </c>
      <c r="D1575">
        <v>9</v>
      </c>
    </row>
    <row r="1576" spans="1:4" hidden="1" x14ac:dyDescent="0.2">
      <c r="A1576">
        <v>2023</v>
      </c>
      <c r="B1576" t="s">
        <v>405</v>
      </c>
      <c r="C1576" t="s">
        <v>365</v>
      </c>
      <c r="D1576">
        <v>1646</v>
      </c>
    </row>
    <row r="1577" spans="1:4" hidden="1" x14ac:dyDescent="0.2">
      <c r="A1577">
        <v>2023</v>
      </c>
      <c r="B1577" t="s">
        <v>405</v>
      </c>
      <c r="C1577" t="s">
        <v>366</v>
      </c>
      <c r="D1577">
        <v>569</v>
      </c>
    </row>
    <row r="1578" spans="1:4" hidden="1" x14ac:dyDescent="0.2">
      <c r="A1578">
        <v>2023</v>
      </c>
      <c r="B1578" t="s">
        <v>405</v>
      </c>
      <c r="C1578" t="s">
        <v>367</v>
      </c>
      <c r="D1578">
        <v>749</v>
      </c>
    </row>
    <row r="1579" spans="1:4" hidden="1" x14ac:dyDescent="0.2">
      <c r="A1579">
        <v>2023</v>
      </c>
      <c r="B1579" t="s">
        <v>405</v>
      </c>
      <c r="C1579" t="s">
        <v>368</v>
      </c>
      <c r="D1579">
        <v>22</v>
      </c>
    </row>
    <row r="1580" spans="1:4" hidden="1" x14ac:dyDescent="0.2">
      <c r="A1580">
        <v>2023</v>
      </c>
      <c r="B1580" t="s">
        <v>405</v>
      </c>
      <c r="C1580" t="s">
        <v>370</v>
      </c>
      <c r="D1580">
        <v>2</v>
      </c>
    </row>
    <row r="1581" spans="1:4" hidden="1" x14ac:dyDescent="0.2">
      <c r="A1581">
        <v>2023</v>
      </c>
      <c r="B1581" t="s">
        <v>484</v>
      </c>
      <c r="C1581" t="s">
        <v>365</v>
      </c>
      <c r="D1581">
        <v>1</v>
      </c>
    </row>
    <row r="1582" spans="1:4" hidden="1" x14ac:dyDescent="0.2">
      <c r="A1582">
        <v>2023</v>
      </c>
      <c r="B1582" t="s">
        <v>485</v>
      </c>
      <c r="C1582" t="s">
        <v>365</v>
      </c>
      <c r="D1582">
        <v>3</v>
      </c>
    </row>
    <row r="1583" spans="1:4" hidden="1" x14ac:dyDescent="0.2">
      <c r="A1583">
        <v>2023</v>
      </c>
      <c r="B1583" t="s">
        <v>486</v>
      </c>
      <c r="C1583" t="s">
        <v>365</v>
      </c>
      <c r="D1583">
        <v>1</v>
      </c>
    </row>
    <row r="1584" spans="1:4" hidden="1" x14ac:dyDescent="0.2">
      <c r="A1584">
        <v>2023</v>
      </c>
      <c r="B1584" t="s">
        <v>406</v>
      </c>
      <c r="C1584" t="s">
        <v>365</v>
      </c>
      <c r="D1584">
        <v>141</v>
      </c>
    </row>
    <row r="1585" spans="1:4" hidden="1" x14ac:dyDescent="0.2">
      <c r="A1585">
        <v>2023</v>
      </c>
      <c r="B1585" t="s">
        <v>406</v>
      </c>
      <c r="C1585" t="s">
        <v>364</v>
      </c>
      <c r="D1585">
        <v>1</v>
      </c>
    </row>
    <row r="1586" spans="1:4" hidden="1" x14ac:dyDescent="0.2">
      <c r="A1586">
        <v>2023</v>
      </c>
      <c r="B1586" t="s">
        <v>407</v>
      </c>
      <c r="C1586" t="s">
        <v>365</v>
      </c>
      <c r="D1586">
        <v>985</v>
      </c>
    </row>
    <row r="1587" spans="1:4" hidden="1" x14ac:dyDescent="0.2">
      <c r="A1587">
        <v>2023</v>
      </c>
      <c r="B1587" t="s">
        <v>407</v>
      </c>
      <c r="C1587" t="s">
        <v>368</v>
      </c>
      <c r="D1587">
        <v>3</v>
      </c>
    </row>
    <row r="1588" spans="1:4" hidden="1" x14ac:dyDescent="0.2">
      <c r="A1588">
        <v>2023</v>
      </c>
      <c r="B1588" t="s">
        <v>407</v>
      </c>
      <c r="C1588" t="s">
        <v>364</v>
      </c>
      <c r="D1588">
        <v>568</v>
      </c>
    </row>
    <row r="1589" spans="1:4" hidden="1" x14ac:dyDescent="0.2">
      <c r="A1589">
        <v>2023</v>
      </c>
      <c r="B1589" t="s">
        <v>487</v>
      </c>
      <c r="C1589" t="s">
        <v>365</v>
      </c>
      <c r="D1589">
        <v>1</v>
      </c>
    </row>
    <row r="1590" spans="1:4" hidden="1" x14ac:dyDescent="0.2">
      <c r="A1590">
        <v>2023</v>
      </c>
      <c r="B1590" t="s">
        <v>408</v>
      </c>
      <c r="C1590" t="s">
        <v>365</v>
      </c>
      <c r="D1590">
        <v>1056</v>
      </c>
    </row>
    <row r="1591" spans="1:4" hidden="1" x14ac:dyDescent="0.2">
      <c r="A1591">
        <v>2023</v>
      </c>
      <c r="B1591" t="s">
        <v>408</v>
      </c>
      <c r="C1591" t="s">
        <v>366</v>
      </c>
      <c r="D1591">
        <v>68</v>
      </c>
    </row>
    <row r="1592" spans="1:4" hidden="1" x14ac:dyDescent="0.2">
      <c r="A1592">
        <v>2023</v>
      </c>
      <c r="B1592" t="s">
        <v>408</v>
      </c>
      <c r="C1592" t="s">
        <v>367</v>
      </c>
      <c r="D1592">
        <v>92</v>
      </c>
    </row>
    <row r="1593" spans="1:4" hidden="1" x14ac:dyDescent="0.2">
      <c r="A1593">
        <v>2023</v>
      </c>
      <c r="B1593" t="s">
        <v>461</v>
      </c>
      <c r="C1593" t="s">
        <v>365</v>
      </c>
      <c r="D1593">
        <v>50</v>
      </c>
    </row>
    <row r="1594" spans="1:4" hidden="1" x14ac:dyDescent="0.2">
      <c r="A1594">
        <v>2023</v>
      </c>
      <c r="B1594" t="s">
        <v>461</v>
      </c>
      <c r="C1594" t="s">
        <v>364</v>
      </c>
      <c r="D1594">
        <v>10</v>
      </c>
    </row>
    <row r="1595" spans="1:4" hidden="1" x14ac:dyDescent="0.2">
      <c r="A1595">
        <v>2023</v>
      </c>
      <c r="B1595" t="s">
        <v>488</v>
      </c>
      <c r="C1595" t="s">
        <v>365</v>
      </c>
      <c r="D1595">
        <v>1</v>
      </c>
    </row>
    <row r="1596" spans="1:4" hidden="1" x14ac:dyDescent="0.2">
      <c r="A1596">
        <v>2023</v>
      </c>
      <c r="B1596" t="s">
        <v>454</v>
      </c>
      <c r="C1596" t="s">
        <v>365</v>
      </c>
      <c r="D1596">
        <v>3</v>
      </c>
    </row>
    <row r="1597" spans="1:4" hidden="1" x14ac:dyDescent="0.2">
      <c r="A1597">
        <v>2023</v>
      </c>
      <c r="B1597" t="s">
        <v>409</v>
      </c>
      <c r="C1597" t="s">
        <v>365</v>
      </c>
      <c r="D1597">
        <v>33075</v>
      </c>
    </row>
    <row r="1598" spans="1:4" hidden="1" x14ac:dyDescent="0.2">
      <c r="A1598">
        <v>2023</v>
      </c>
      <c r="B1598" t="s">
        <v>409</v>
      </c>
      <c r="C1598" t="s">
        <v>366</v>
      </c>
      <c r="D1598">
        <v>75</v>
      </c>
    </row>
    <row r="1599" spans="1:4" hidden="1" x14ac:dyDescent="0.2">
      <c r="A1599">
        <v>2023</v>
      </c>
      <c r="B1599" t="s">
        <v>409</v>
      </c>
      <c r="C1599" t="s">
        <v>367</v>
      </c>
      <c r="D1599">
        <v>4318</v>
      </c>
    </row>
    <row r="1600" spans="1:4" hidden="1" x14ac:dyDescent="0.2">
      <c r="A1600">
        <v>2023</v>
      </c>
      <c r="B1600" t="s">
        <v>409</v>
      </c>
      <c r="C1600" t="s">
        <v>364</v>
      </c>
      <c r="D1600">
        <v>15</v>
      </c>
    </row>
    <row r="1601" spans="1:4" hidden="1" x14ac:dyDescent="0.2">
      <c r="A1601">
        <v>2023</v>
      </c>
      <c r="B1601" t="s">
        <v>455</v>
      </c>
      <c r="C1601" t="s">
        <v>365</v>
      </c>
      <c r="D1601">
        <v>188</v>
      </c>
    </row>
    <row r="1602" spans="1:4" hidden="1" x14ac:dyDescent="0.2">
      <c r="A1602">
        <v>2023</v>
      </c>
      <c r="B1602" t="s">
        <v>455</v>
      </c>
      <c r="C1602" t="s">
        <v>368</v>
      </c>
      <c r="D1602">
        <v>6</v>
      </c>
    </row>
    <row r="1603" spans="1:4" hidden="1" x14ac:dyDescent="0.2">
      <c r="A1603">
        <v>2023</v>
      </c>
      <c r="B1603" t="s">
        <v>410</v>
      </c>
      <c r="C1603" t="s">
        <v>365</v>
      </c>
      <c r="D1603">
        <v>65983</v>
      </c>
    </row>
    <row r="1604" spans="1:4" hidden="1" x14ac:dyDescent="0.2">
      <c r="A1604">
        <v>2023</v>
      </c>
      <c r="B1604" t="s">
        <v>410</v>
      </c>
      <c r="C1604" t="s">
        <v>366</v>
      </c>
      <c r="D1604">
        <v>1037</v>
      </c>
    </row>
    <row r="1605" spans="1:4" hidden="1" x14ac:dyDescent="0.2">
      <c r="A1605">
        <v>2023</v>
      </c>
      <c r="B1605" t="s">
        <v>410</v>
      </c>
      <c r="C1605" t="s">
        <v>367</v>
      </c>
      <c r="D1605">
        <v>6271</v>
      </c>
    </row>
    <row r="1606" spans="1:4" hidden="1" x14ac:dyDescent="0.2">
      <c r="A1606">
        <v>2023</v>
      </c>
      <c r="B1606" t="s">
        <v>410</v>
      </c>
      <c r="C1606" t="s">
        <v>368</v>
      </c>
      <c r="D1606">
        <v>519</v>
      </c>
    </row>
    <row r="1607" spans="1:4" hidden="1" x14ac:dyDescent="0.2">
      <c r="A1607">
        <v>2023</v>
      </c>
      <c r="B1607" t="s">
        <v>410</v>
      </c>
      <c r="C1607" t="s">
        <v>369</v>
      </c>
      <c r="D1607">
        <v>71</v>
      </c>
    </row>
    <row r="1608" spans="1:4" hidden="1" x14ac:dyDescent="0.2">
      <c r="A1608">
        <v>2023</v>
      </c>
      <c r="B1608" t="s">
        <v>410</v>
      </c>
      <c r="C1608" t="s">
        <v>364</v>
      </c>
      <c r="D1608">
        <v>882</v>
      </c>
    </row>
    <row r="1609" spans="1:4" hidden="1" x14ac:dyDescent="0.2">
      <c r="A1609">
        <v>2023</v>
      </c>
      <c r="B1609" t="s">
        <v>410</v>
      </c>
      <c r="C1609" t="s">
        <v>370</v>
      </c>
      <c r="D1609">
        <v>8</v>
      </c>
    </row>
    <row r="1610" spans="1:4" hidden="1" x14ac:dyDescent="0.2">
      <c r="A1610">
        <v>2023</v>
      </c>
      <c r="B1610" t="s">
        <v>410</v>
      </c>
      <c r="C1610" t="s">
        <v>371</v>
      </c>
      <c r="D1610">
        <v>1</v>
      </c>
    </row>
    <row r="1611" spans="1:4" hidden="1" x14ac:dyDescent="0.2">
      <c r="A1611">
        <v>2023</v>
      </c>
      <c r="B1611" t="s">
        <v>489</v>
      </c>
      <c r="C1611" t="s">
        <v>365</v>
      </c>
      <c r="D1611">
        <v>2</v>
      </c>
    </row>
    <row r="1612" spans="1:4" hidden="1" x14ac:dyDescent="0.2">
      <c r="A1612">
        <v>2023</v>
      </c>
      <c r="B1612" t="s">
        <v>411</v>
      </c>
      <c r="C1612" t="s">
        <v>365</v>
      </c>
      <c r="D1612">
        <v>1</v>
      </c>
    </row>
    <row r="1613" spans="1:4" hidden="1" x14ac:dyDescent="0.2">
      <c r="A1613">
        <v>2023</v>
      </c>
      <c r="B1613" t="s">
        <v>412</v>
      </c>
      <c r="C1613" t="s">
        <v>365</v>
      </c>
      <c r="D1613">
        <v>4592</v>
      </c>
    </row>
    <row r="1614" spans="1:4" hidden="1" x14ac:dyDescent="0.2">
      <c r="A1614">
        <v>2023</v>
      </c>
      <c r="B1614" t="s">
        <v>412</v>
      </c>
      <c r="C1614" t="s">
        <v>366</v>
      </c>
      <c r="D1614">
        <v>24</v>
      </c>
    </row>
    <row r="1615" spans="1:4" hidden="1" x14ac:dyDescent="0.2">
      <c r="A1615">
        <v>2023</v>
      </c>
      <c r="B1615" t="s">
        <v>412</v>
      </c>
      <c r="C1615" t="s">
        <v>364</v>
      </c>
      <c r="D1615">
        <v>87</v>
      </c>
    </row>
    <row r="1616" spans="1:4" hidden="1" x14ac:dyDescent="0.2">
      <c r="A1616">
        <v>2023</v>
      </c>
      <c r="B1616" t="s">
        <v>413</v>
      </c>
      <c r="C1616" t="s">
        <v>365</v>
      </c>
      <c r="D1616">
        <v>5</v>
      </c>
    </row>
    <row r="1617" spans="1:4" hidden="1" x14ac:dyDescent="0.2">
      <c r="A1617">
        <v>2023</v>
      </c>
      <c r="B1617" t="s">
        <v>490</v>
      </c>
      <c r="C1617" t="s">
        <v>365</v>
      </c>
      <c r="D1617">
        <v>1</v>
      </c>
    </row>
    <row r="1618" spans="1:4" hidden="1" x14ac:dyDescent="0.2">
      <c r="A1618">
        <v>2023</v>
      </c>
      <c r="B1618" t="s">
        <v>414</v>
      </c>
      <c r="C1618" t="s">
        <v>365</v>
      </c>
      <c r="D1618">
        <v>18439</v>
      </c>
    </row>
    <row r="1619" spans="1:4" hidden="1" x14ac:dyDescent="0.2">
      <c r="A1619">
        <v>2023</v>
      </c>
      <c r="B1619" t="s">
        <v>414</v>
      </c>
      <c r="C1619" t="s">
        <v>368</v>
      </c>
      <c r="D1619">
        <v>4</v>
      </c>
    </row>
    <row r="1620" spans="1:4" hidden="1" x14ac:dyDescent="0.2">
      <c r="A1620">
        <v>2023</v>
      </c>
      <c r="B1620" t="s">
        <v>445</v>
      </c>
      <c r="C1620" t="s">
        <v>365</v>
      </c>
      <c r="D1620">
        <v>50</v>
      </c>
    </row>
    <row r="1621" spans="1:4" hidden="1" x14ac:dyDescent="0.2">
      <c r="A1621">
        <v>2023</v>
      </c>
      <c r="B1621" t="s">
        <v>415</v>
      </c>
      <c r="C1621" t="s">
        <v>365</v>
      </c>
      <c r="D1621">
        <v>24</v>
      </c>
    </row>
    <row r="1622" spans="1:4" hidden="1" x14ac:dyDescent="0.2">
      <c r="A1622">
        <v>2023</v>
      </c>
      <c r="B1622" t="s">
        <v>416</v>
      </c>
      <c r="C1622" t="s">
        <v>365</v>
      </c>
      <c r="D1622">
        <v>94</v>
      </c>
    </row>
    <row r="1623" spans="1:4" hidden="1" x14ac:dyDescent="0.2">
      <c r="A1623">
        <v>2023</v>
      </c>
      <c r="B1623" t="s">
        <v>417</v>
      </c>
      <c r="C1623" t="s">
        <v>365</v>
      </c>
      <c r="D1623">
        <v>27372</v>
      </c>
    </row>
    <row r="1624" spans="1:4" hidden="1" x14ac:dyDescent="0.2">
      <c r="A1624">
        <v>2023</v>
      </c>
      <c r="B1624" t="s">
        <v>417</v>
      </c>
      <c r="C1624" t="s">
        <v>366</v>
      </c>
      <c r="D1624">
        <v>29</v>
      </c>
    </row>
    <row r="1625" spans="1:4" hidden="1" x14ac:dyDescent="0.2">
      <c r="A1625">
        <v>2023</v>
      </c>
      <c r="B1625" t="s">
        <v>417</v>
      </c>
      <c r="C1625" t="s">
        <v>367</v>
      </c>
      <c r="D1625">
        <v>4719</v>
      </c>
    </row>
    <row r="1626" spans="1:4" hidden="1" x14ac:dyDescent="0.2">
      <c r="A1626">
        <v>2023</v>
      </c>
      <c r="B1626" t="s">
        <v>417</v>
      </c>
      <c r="C1626" t="s">
        <v>364</v>
      </c>
      <c r="D1626">
        <v>57</v>
      </c>
    </row>
    <row r="1627" spans="1:4" hidden="1" x14ac:dyDescent="0.2">
      <c r="A1627">
        <v>2023</v>
      </c>
      <c r="B1627" t="s">
        <v>491</v>
      </c>
      <c r="C1627" t="s">
        <v>365</v>
      </c>
      <c r="D1627">
        <v>1</v>
      </c>
    </row>
    <row r="1628" spans="1:4" hidden="1" x14ac:dyDescent="0.2">
      <c r="A1628">
        <v>2023</v>
      </c>
      <c r="B1628" t="s">
        <v>418</v>
      </c>
      <c r="C1628" t="s">
        <v>365</v>
      </c>
      <c r="D1628">
        <v>2403</v>
      </c>
    </row>
    <row r="1629" spans="1:4" hidden="1" x14ac:dyDescent="0.2">
      <c r="A1629">
        <v>2023</v>
      </c>
      <c r="B1629" t="s">
        <v>418</v>
      </c>
      <c r="C1629" t="s">
        <v>366</v>
      </c>
      <c r="D1629">
        <v>495</v>
      </c>
    </row>
    <row r="1630" spans="1:4" hidden="1" x14ac:dyDescent="0.2">
      <c r="A1630">
        <v>2023</v>
      </c>
      <c r="B1630" t="s">
        <v>418</v>
      </c>
      <c r="C1630" t="s">
        <v>364</v>
      </c>
      <c r="D1630">
        <v>178</v>
      </c>
    </row>
    <row r="1631" spans="1:4" hidden="1" x14ac:dyDescent="0.2">
      <c r="A1631">
        <v>2023</v>
      </c>
      <c r="B1631" t="s">
        <v>492</v>
      </c>
      <c r="C1631" t="s">
        <v>365</v>
      </c>
      <c r="D1631">
        <v>4</v>
      </c>
    </row>
    <row r="1632" spans="1:4" hidden="1" x14ac:dyDescent="0.2">
      <c r="A1632">
        <v>2023</v>
      </c>
      <c r="B1632" t="s">
        <v>420</v>
      </c>
      <c r="C1632" t="s">
        <v>365</v>
      </c>
      <c r="D1632">
        <v>8</v>
      </c>
    </row>
    <row r="1633" spans="1:4" hidden="1" x14ac:dyDescent="0.2">
      <c r="A1633">
        <v>2023</v>
      </c>
      <c r="B1633" t="s">
        <v>421</v>
      </c>
      <c r="C1633" t="s">
        <v>365</v>
      </c>
      <c r="D1633">
        <v>629</v>
      </c>
    </row>
    <row r="1634" spans="1:4" hidden="1" x14ac:dyDescent="0.2">
      <c r="A1634">
        <v>2023</v>
      </c>
      <c r="B1634" t="s">
        <v>422</v>
      </c>
      <c r="C1634" t="s">
        <v>365</v>
      </c>
      <c r="D1634">
        <v>3220</v>
      </c>
    </row>
    <row r="1635" spans="1:4" hidden="1" x14ac:dyDescent="0.2">
      <c r="A1635">
        <v>2023</v>
      </c>
      <c r="B1635" t="s">
        <v>422</v>
      </c>
      <c r="C1635" t="s">
        <v>366</v>
      </c>
      <c r="D1635">
        <v>585</v>
      </c>
    </row>
    <row r="1636" spans="1:4" hidden="1" x14ac:dyDescent="0.2">
      <c r="A1636">
        <v>2023</v>
      </c>
      <c r="B1636" t="s">
        <v>422</v>
      </c>
      <c r="C1636" t="s">
        <v>364</v>
      </c>
      <c r="D1636">
        <v>154</v>
      </c>
    </row>
    <row r="1637" spans="1:4" hidden="1" x14ac:dyDescent="0.2">
      <c r="A1637">
        <v>2023</v>
      </c>
      <c r="B1637" t="s">
        <v>466</v>
      </c>
      <c r="C1637" t="s">
        <v>364</v>
      </c>
      <c r="D1637">
        <v>269</v>
      </c>
    </row>
    <row r="1638" spans="1:4" hidden="1" x14ac:dyDescent="0.2">
      <c r="A1638">
        <v>2023</v>
      </c>
      <c r="B1638" t="s">
        <v>493</v>
      </c>
      <c r="C1638" t="s">
        <v>365</v>
      </c>
      <c r="D1638">
        <v>2</v>
      </c>
    </row>
    <row r="1639" spans="1:4" hidden="1" x14ac:dyDescent="0.2">
      <c r="A1639">
        <v>2023</v>
      </c>
      <c r="B1639" t="s">
        <v>423</v>
      </c>
      <c r="C1639" t="s">
        <v>365</v>
      </c>
      <c r="D1639">
        <v>7944</v>
      </c>
    </row>
    <row r="1640" spans="1:4" hidden="1" x14ac:dyDescent="0.2">
      <c r="A1640">
        <v>2023</v>
      </c>
      <c r="B1640" t="s">
        <v>423</v>
      </c>
      <c r="C1640" t="s">
        <v>366</v>
      </c>
      <c r="D1640">
        <v>193</v>
      </c>
    </row>
    <row r="1641" spans="1:4" hidden="1" x14ac:dyDescent="0.2">
      <c r="A1641">
        <v>2023</v>
      </c>
      <c r="B1641" t="s">
        <v>423</v>
      </c>
      <c r="C1641" t="s">
        <v>367</v>
      </c>
      <c r="D1641">
        <v>133</v>
      </c>
    </row>
    <row r="1642" spans="1:4" hidden="1" x14ac:dyDescent="0.2">
      <c r="A1642">
        <v>2023</v>
      </c>
      <c r="B1642" t="s">
        <v>423</v>
      </c>
      <c r="C1642" t="s">
        <v>368</v>
      </c>
      <c r="D1642">
        <v>62</v>
      </c>
    </row>
    <row r="1643" spans="1:4" hidden="1" x14ac:dyDescent="0.2">
      <c r="A1643">
        <v>2023</v>
      </c>
      <c r="B1643" t="s">
        <v>423</v>
      </c>
      <c r="C1643" t="s">
        <v>364</v>
      </c>
      <c r="D1643">
        <v>448</v>
      </c>
    </row>
    <row r="1644" spans="1:4" hidden="1" x14ac:dyDescent="0.2">
      <c r="A1644">
        <v>2023</v>
      </c>
      <c r="B1644" t="s">
        <v>424</v>
      </c>
      <c r="C1644" t="s">
        <v>365</v>
      </c>
      <c r="D1644">
        <v>450</v>
      </c>
    </row>
    <row r="1645" spans="1:4" hidden="1" x14ac:dyDescent="0.2">
      <c r="A1645">
        <v>2023</v>
      </c>
      <c r="B1645" t="s">
        <v>494</v>
      </c>
      <c r="C1645" t="s">
        <v>365</v>
      </c>
      <c r="D1645">
        <v>1</v>
      </c>
    </row>
    <row r="1646" spans="1:4" hidden="1" x14ac:dyDescent="0.2">
      <c r="A1646">
        <v>2023</v>
      </c>
      <c r="B1646" t="s">
        <v>495</v>
      </c>
      <c r="C1646" t="s">
        <v>365</v>
      </c>
      <c r="D1646">
        <v>1</v>
      </c>
    </row>
    <row r="1647" spans="1:4" hidden="1" x14ac:dyDescent="0.2">
      <c r="A1647">
        <v>2023</v>
      </c>
      <c r="B1647" t="s">
        <v>495</v>
      </c>
      <c r="C1647" t="s">
        <v>366</v>
      </c>
      <c r="D1647">
        <v>1</v>
      </c>
    </row>
    <row r="1648" spans="1:4" hidden="1" x14ac:dyDescent="0.2">
      <c r="A1648">
        <v>2023</v>
      </c>
      <c r="B1648" t="s">
        <v>495</v>
      </c>
      <c r="C1648" t="s">
        <v>368</v>
      </c>
      <c r="D1648">
        <v>1</v>
      </c>
    </row>
    <row r="1649" spans="1:4" hidden="1" x14ac:dyDescent="0.2">
      <c r="A1649">
        <v>2023</v>
      </c>
      <c r="B1649" t="s">
        <v>425</v>
      </c>
      <c r="C1649" t="s">
        <v>365</v>
      </c>
      <c r="D1649">
        <v>525</v>
      </c>
    </row>
    <row r="1650" spans="1:4" hidden="1" x14ac:dyDescent="0.2">
      <c r="A1650">
        <v>2023</v>
      </c>
      <c r="B1650" t="s">
        <v>425</v>
      </c>
      <c r="C1650" t="s">
        <v>366</v>
      </c>
      <c r="D1650">
        <v>3050</v>
      </c>
    </row>
    <row r="1651" spans="1:4" hidden="1" x14ac:dyDescent="0.2">
      <c r="A1651">
        <v>2023</v>
      </c>
      <c r="B1651" t="s">
        <v>425</v>
      </c>
      <c r="C1651" t="s">
        <v>367</v>
      </c>
      <c r="D1651">
        <v>3</v>
      </c>
    </row>
    <row r="1652" spans="1:4" hidden="1" x14ac:dyDescent="0.2">
      <c r="A1652">
        <v>2023</v>
      </c>
      <c r="B1652" t="s">
        <v>425</v>
      </c>
      <c r="C1652" t="s">
        <v>364</v>
      </c>
      <c r="D1652">
        <v>13</v>
      </c>
    </row>
    <row r="1653" spans="1:4" hidden="1" x14ac:dyDescent="0.2">
      <c r="A1653">
        <v>2023</v>
      </c>
      <c r="B1653" t="s">
        <v>496</v>
      </c>
      <c r="C1653" t="s">
        <v>365</v>
      </c>
      <c r="D1653">
        <v>4</v>
      </c>
    </row>
    <row r="1654" spans="1:4" hidden="1" x14ac:dyDescent="0.2">
      <c r="A1654">
        <v>2023</v>
      </c>
      <c r="B1654" t="s">
        <v>426</v>
      </c>
      <c r="C1654" t="s">
        <v>365</v>
      </c>
      <c r="D1654">
        <v>762</v>
      </c>
    </row>
    <row r="1655" spans="1:4" hidden="1" x14ac:dyDescent="0.2">
      <c r="A1655">
        <v>2023</v>
      </c>
      <c r="B1655" t="s">
        <v>427</v>
      </c>
      <c r="C1655" t="s">
        <v>365</v>
      </c>
      <c r="D1655">
        <v>12</v>
      </c>
    </row>
    <row r="1656" spans="1:4" hidden="1" x14ac:dyDescent="0.2">
      <c r="A1656">
        <v>2023</v>
      </c>
      <c r="B1656" t="s">
        <v>465</v>
      </c>
      <c r="C1656" t="s">
        <v>365</v>
      </c>
      <c r="D1656">
        <v>5</v>
      </c>
    </row>
    <row r="1657" spans="1:4" hidden="1" x14ac:dyDescent="0.2">
      <c r="A1657">
        <v>2023</v>
      </c>
      <c r="B1657" t="s">
        <v>497</v>
      </c>
      <c r="C1657" t="s">
        <v>365</v>
      </c>
      <c r="D1657">
        <v>1</v>
      </c>
    </row>
    <row r="1658" spans="1:4" hidden="1" x14ac:dyDescent="0.2">
      <c r="A1658">
        <v>2023</v>
      </c>
      <c r="B1658" t="s">
        <v>428</v>
      </c>
      <c r="C1658" t="s">
        <v>365</v>
      </c>
      <c r="D1658">
        <v>66</v>
      </c>
    </row>
    <row r="1659" spans="1:4" hidden="1" x14ac:dyDescent="0.2">
      <c r="A1659">
        <v>2023</v>
      </c>
      <c r="B1659" t="s">
        <v>429</v>
      </c>
      <c r="C1659" t="s">
        <v>365</v>
      </c>
      <c r="D1659">
        <v>1244</v>
      </c>
    </row>
    <row r="1660" spans="1:4" hidden="1" x14ac:dyDescent="0.2">
      <c r="A1660">
        <v>2023</v>
      </c>
      <c r="B1660" t="s">
        <v>429</v>
      </c>
      <c r="C1660" t="s">
        <v>366</v>
      </c>
      <c r="D1660">
        <v>53</v>
      </c>
    </row>
    <row r="1661" spans="1:4" hidden="1" x14ac:dyDescent="0.2">
      <c r="A1661">
        <v>2023</v>
      </c>
      <c r="B1661" t="s">
        <v>429</v>
      </c>
      <c r="C1661" t="s">
        <v>367</v>
      </c>
      <c r="D1661">
        <v>39</v>
      </c>
    </row>
    <row r="1662" spans="1:4" hidden="1" x14ac:dyDescent="0.2">
      <c r="A1662">
        <v>2023</v>
      </c>
      <c r="B1662" t="s">
        <v>457</v>
      </c>
      <c r="C1662" t="s">
        <v>365</v>
      </c>
      <c r="D1662">
        <v>5</v>
      </c>
    </row>
    <row r="1663" spans="1:4" hidden="1" x14ac:dyDescent="0.2">
      <c r="A1663">
        <v>2023</v>
      </c>
      <c r="B1663" t="s">
        <v>430</v>
      </c>
      <c r="C1663" t="s">
        <v>365</v>
      </c>
      <c r="D1663">
        <v>2660</v>
      </c>
    </row>
    <row r="1664" spans="1:4" hidden="1" x14ac:dyDescent="0.2">
      <c r="A1664">
        <v>2023</v>
      </c>
      <c r="B1664" t="s">
        <v>430</v>
      </c>
      <c r="C1664" t="s">
        <v>366</v>
      </c>
      <c r="D1664">
        <v>5</v>
      </c>
    </row>
    <row r="1665" spans="1:4" hidden="1" x14ac:dyDescent="0.2">
      <c r="A1665">
        <v>2023</v>
      </c>
      <c r="B1665" t="s">
        <v>430</v>
      </c>
      <c r="C1665" t="s">
        <v>367</v>
      </c>
      <c r="D1665">
        <v>268</v>
      </c>
    </row>
    <row r="1666" spans="1:4" hidden="1" x14ac:dyDescent="0.2">
      <c r="A1666">
        <v>2023</v>
      </c>
      <c r="B1666" t="s">
        <v>430</v>
      </c>
      <c r="C1666" t="s">
        <v>364</v>
      </c>
      <c r="D1666">
        <v>2</v>
      </c>
    </row>
    <row r="1667" spans="1:4" hidden="1" x14ac:dyDescent="0.2">
      <c r="A1667">
        <v>2023</v>
      </c>
      <c r="B1667" t="s">
        <v>462</v>
      </c>
      <c r="C1667" t="s">
        <v>365</v>
      </c>
      <c r="D1667">
        <v>7</v>
      </c>
    </row>
    <row r="1668" spans="1:4" hidden="1" x14ac:dyDescent="0.2">
      <c r="A1668">
        <v>2023</v>
      </c>
      <c r="B1668" t="s">
        <v>462</v>
      </c>
      <c r="C1668" t="s">
        <v>364</v>
      </c>
      <c r="D1668">
        <v>8</v>
      </c>
    </row>
    <row r="1669" spans="1:4" hidden="1" x14ac:dyDescent="0.2">
      <c r="A1669">
        <v>2023</v>
      </c>
      <c r="B1669" t="s">
        <v>431</v>
      </c>
      <c r="C1669" t="s">
        <v>365</v>
      </c>
      <c r="D1669">
        <v>591</v>
      </c>
    </row>
    <row r="1670" spans="1:4" hidden="1" x14ac:dyDescent="0.2">
      <c r="A1670">
        <v>2023</v>
      </c>
      <c r="B1670" t="s">
        <v>431</v>
      </c>
      <c r="C1670" t="s">
        <v>366</v>
      </c>
      <c r="D1670">
        <v>994</v>
      </c>
    </row>
    <row r="1671" spans="1:4" hidden="1" x14ac:dyDescent="0.2">
      <c r="A1671">
        <v>2023</v>
      </c>
      <c r="B1671" t="s">
        <v>431</v>
      </c>
      <c r="C1671" t="s">
        <v>369</v>
      </c>
      <c r="D1671">
        <v>1</v>
      </c>
    </row>
    <row r="1672" spans="1:4" hidden="1" x14ac:dyDescent="0.2">
      <c r="A1672">
        <v>2023</v>
      </c>
      <c r="B1672" t="s">
        <v>498</v>
      </c>
      <c r="C1672" t="s">
        <v>365</v>
      </c>
      <c r="D1672">
        <v>2</v>
      </c>
    </row>
    <row r="1673" spans="1:4" hidden="1" x14ac:dyDescent="0.2">
      <c r="A1673">
        <v>2023</v>
      </c>
      <c r="B1673" t="s">
        <v>499</v>
      </c>
      <c r="C1673" t="s">
        <v>365</v>
      </c>
      <c r="D1673">
        <v>1</v>
      </c>
    </row>
    <row r="1674" spans="1:4" hidden="1" x14ac:dyDescent="0.2">
      <c r="A1674">
        <v>2023</v>
      </c>
      <c r="B1674" t="s">
        <v>432</v>
      </c>
      <c r="C1674" t="s">
        <v>365</v>
      </c>
      <c r="D1674">
        <v>14523</v>
      </c>
    </row>
    <row r="1675" spans="1:4" hidden="1" x14ac:dyDescent="0.2">
      <c r="A1675">
        <v>2023</v>
      </c>
      <c r="B1675" t="s">
        <v>432</v>
      </c>
      <c r="C1675" t="s">
        <v>367</v>
      </c>
      <c r="D1675">
        <v>212</v>
      </c>
    </row>
    <row r="1676" spans="1:4" hidden="1" x14ac:dyDescent="0.2">
      <c r="A1676">
        <v>2023</v>
      </c>
      <c r="B1676" t="s">
        <v>433</v>
      </c>
      <c r="C1676" t="s">
        <v>365</v>
      </c>
      <c r="D1676">
        <v>6</v>
      </c>
    </row>
    <row r="1677" spans="1:4" hidden="1" x14ac:dyDescent="0.2">
      <c r="A1677">
        <v>2023</v>
      </c>
      <c r="B1677" t="s">
        <v>434</v>
      </c>
      <c r="C1677" t="s">
        <v>365</v>
      </c>
      <c r="D1677">
        <v>4448</v>
      </c>
    </row>
    <row r="1678" spans="1:4" hidden="1" x14ac:dyDescent="0.2">
      <c r="A1678">
        <v>2023</v>
      </c>
      <c r="B1678" t="s">
        <v>434</v>
      </c>
      <c r="C1678" t="s">
        <v>367</v>
      </c>
      <c r="D1678">
        <v>773</v>
      </c>
    </row>
    <row r="1679" spans="1:4" hidden="1" x14ac:dyDescent="0.2">
      <c r="A1679">
        <v>2023</v>
      </c>
      <c r="B1679" t="s">
        <v>500</v>
      </c>
      <c r="C1679" t="s">
        <v>365</v>
      </c>
      <c r="D1679">
        <v>2</v>
      </c>
    </row>
    <row r="1680" spans="1:4" hidden="1" x14ac:dyDescent="0.2">
      <c r="A1680">
        <v>2023</v>
      </c>
      <c r="B1680" t="s">
        <v>501</v>
      </c>
      <c r="C1680" t="s">
        <v>365</v>
      </c>
      <c r="D1680">
        <v>1</v>
      </c>
    </row>
    <row r="1681" spans="1:4" hidden="1" x14ac:dyDescent="0.2">
      <c r="A1681">
        <v>2023</v>
      </c>
      <c r="B1681" t="s">
        <v>442</v>
      </c>
      <c r="C1681" t="s">
        <v>365</v>
      </c>
      <c r="D1681">
        <v>6</v>
      </c>
    </row>
    <row r="1682" spans="1:4" hidden="1" x14ac:dyDescent="0.2">
      <c r="A1682">
        <v>2023</v>
      </c>
      <c r="B1682" t="s">
        <v>463</v>
      </c>
      <c r="C1682" t="s">
        <v>364</v>
      </c>
      <c r="D1682">
        <v>2780</v>
      </c>
    </row>
    <row r="1683" spans="1:4" hidden="1" x14ac:dyDescent="0.2">
      <c r="A1683">
        <v>2023</v>
      </c>
      <c r="B1683" t="s">
        <v>502</v>
      </c>
      <c r="C1683" t="s">
        <v>366</v>
      </c>
      <c r="D1683">
        <v>1</v>
      </c>
    </row>
    <row r="1684" spans="1:4" hidden="1" x14ac:dyDescent="0.2">
      <c r="A1684">
        <v>2023</v>
      </c>
      <c r="B1684" t="s">
        <v>435</v>
      </c>
      <c r="C1684" t="s">
        <v>365</v>
      </c>
      <c r="D1684">
        <v>108042</v>
      </c>
    </row>
    <row r="1685" spans="1:4" hidden="1" x14ac:dyDescent="0.2">
      <c r="A1685">
        <v>2023</v>
      </c>
      <c r="B1685" t="s">
        <v>435</v>
      </c>
      <c r="C1685" t="s">
        <v>366</v>
      </c>
      <c r="D1685">
        <v>72</v>
      </c>
    </row>
    <row r="1686" spans="1:4" hidden="1" x14ac:dyDescent="0.2">
      <c r="A1686">
        <v>2023</v>
      </c>
      <c r="B1686" t="s">
        <v>435</v>
      </c>
      <c r="C1686" t="s">
        <v>367</v>
      </c>
      <c r="D1686">
        <v>35062</v>
      </c>
    </row>
    <row r="1687" spans="1:4" hidden="1" x14ac:dyDescent="0.2">
      <c r="A1687">
        <v>2023</v>
      </c>
      <c r="B1687" t="s">
        <v>435</v>
      </c>
      <c r="C1687" t="s">
        <v>368</v>
      </c>
      <c r="D1687">
        <v>27</v>
      </c>
    </row>
    <row r="1688" spans="1:4" hidden="1" x14ac:dyDescent="0.2">
      <c r="A1688">
        <v>2023</v>
      </c>
      <c r="B1688" t="s">
        <v>435</v>
      </c>
      <c r="C1688" t="s">
        <v>369</v>
      </c>
      <c r="D1688">
        <v>11</v>
      </c>
    </row>
    <row r="1689" spans="1:4" hidden="1" x14ac:dyDescent="0.2">
      <c r="A1689">
        <v>2023</v>
      </c>
      <c r="B1689" t="s">
        <v>435</v>
      </c>
      <c r="C1689" t="s">
        <v>364</v>
      </c>
      <c r="D1689">
        <v>50</v>
      </c>
    </row>
    <row r="1690" spans="1:4" hidden="1" x14ac:dyDescent="0.2">
      <c r="A1690">
        <v>2023</v>
      </c>
      <c r="B1690" t="s">
        <v>436</v>
      </c>
      <c r="C1690" t="s">
        <v>365</v>
      </c>
      <c r="D1690">
        <v>44</v>
      </c>
    </row>
    <row r="1691" spans="1:4" hidden="1" x14ac:dyDescent="0.2">
      <c r="A1691">
        <v>2023</v>
      </c>
      <c r="B1691" t="s">
        <v>503</v>
      </c>
      <c r="C1691" t="s">
        <v>365</v>
      </c>
      <c r="D1691">
        <v>1</v>
      </c>
    </row>
    <row r="1692" spans="1:4" hidden="1" x14ac:dyDescent="0.2">
      <c r="A1692">
        <v>2023</v>
      </c>
      <c r="B1692" t="s">
        <v>504</v>
      </c>
      <c r="C1692" t="s">
        <v>365</v>
      </c>
      <c r="D1692">
        <v>1</v>
      </c>
    </row>
    <row r="1693" spans="1:4" hidden="1" x14ac:dyDescent="0.2">
      <c r="A1693">
        <v>2023</v>
      </c>
      <c r="B1693" t="s">
        <v>505</v>
      </c>
      <c r="C1693" t="s">
        <v>365</v>
      </c>
      <c r="D1693">
        <v>1</v>
      </c>
    </row>
    <row r="1694" spans="1:4" hidden="1" x14ac:dyDescent="0.2">
      <c r="A1694">
        <v>2023</v>
      </c>
      <c r="B1694" t="s">
        <v>437</v>
      </c>
      <c r="C1694" t="s">
        <v>365</v>
      </c>
      <c r="D1694">
        <v>20025</v>
      </c>
    </row>
    <row r="1695" spans="1:4" hidden="1" x14ac:dyDescent="0.2">
      <c r="A1695">
        <v>2023</v>
      </c>
      <c r="B1695" t="s">
        <v>437</v>
      </c>
      <c r="C1695" t="s">
        <v>366</v>
      </c>
      <c r="D1695">
        <v>419</v>
      </c>
    </row>
    <row r="1696" spans="1:4" hidden="1" x14ac:dyDescent="0.2">
      <c r="A1696">
        <v>2023</v>
      </c>
      <c r="B1696" t="s">
        <v>437</v>
      </c>
      <c r="C1696" t="s">
        <v>367</v>
      </c>
      <c r="D1696">
        <v>419</v>
      </c>
    </row>
    <row r="1697" spans="1:4" hidden="1" x14ac:dyDescent="0.2">
      <c r="A1697">
        <v>2023</v>
      </c>
      <c r="B1697" t="s">
        <v>437</v>
      </c>
      <c r="C1697" t="s">
        <v>364</v>
      </c>
      <c r="D1697">
        <v>12</v>
      </c>
    </row>
    <row r="1698" spans="1:4" hidden="1" x14ac:dyDescent="0.2">
      <c r="A1698">
        <v>2023</v>
      </c>
      <c r="B1698" t="s">
        <v>438</v>
      </c>
      <c r="C1698" t="s">
        <v>365</v>
      </c>
      <c r="D1698">
        <v>7679</v>
      </c>
    </row>
    <row r="1699" spans="1:4" hidden="1" x14ac:dyDescent="0.2">
      <c r="A1699">
        <v>2023</v>
      </c>
      <c r="B1699" t="s">
        <v>438</v>
      </c>
      <c r="C1699" t="s">
        <v>366</v>
      </c>
      <c r="D1699">
        <v>957</v>
      </c>
    </row>
    <row r="1700" spans="1:4" hidden="1" x14ac:dyDescent="0.2">
      <c r="A1700">
        <v>2023</v>
      </c>
      <c r="B1700" t="s">
        <v>438</v>
      </c>
      <c r="C1700" t="s">
        <v>367</v>
      </c>
      <c r="D1700">
        <v>546</v>
      </c>
    </row>
    <row r="1701" spans="1:4" hidden="1" x14ac:dyDescent="0.2">
      <c r="A1701">
        <v>2023</v>
      </c>
      <c r="B1701" t="s">
        <v>438</v>
      </c>
      <c r="C1701" t="s">
        <v>368</v>
      </c>
      <c r="D1701">
        <v>109</v>
      </c>
    </row>
    <row r="1702" spans="1:4" hidden="1" x14ac:dyDescent="0.2">
      <c r="A1702">
        <v>2023</v>
      </c>
      <c r="B1702" t="s">
        <v>438</v>
      </c>
      <c r="C1702" t="s">
        <v>364</v>
      </c>
      <c r="D1702">
        <v>222</v>
      </c>
    </row>
    <row r="1703" spans="1:4" hidden="1" x14ac:dyDescent="0.2">
      <c r="A1703">
        <v>2023</v>
      </c>
      <c r="B1703" t="s">
        <v>506</v>
      </c>
      <c r="C1703" t="s">
        <v>365</v>
      </c>
      <c r="D1703">
        <v>2</v>
      </c>
    </row>
    <row r="1704" spans="1:4" hidden="1" x14ac:dyDescent="0.2">
      <c r="A1704">
        <v>2023</v>
      </c>
      <c r="B1704" t="s">
        <v>449</v>
      </c>
      <c r="C1704" t="s">
        <v>365</v>
      </c>
    </row>
    <row r="1705" spans="1:4" hidden="1" x14ac:dyDescent="0.2">
      <c r="A1705">
        <v>2023</v>
      </c>
      <c r="B1705" t="s">
        <v>450</v>
      </c>
      <c r="C1705" t="s">
        <v>365</v>
      </c>
      <c r="D1705">
        <v>3</v>
      </c>
    </row>
    <row r="1706" spans="1:4" hidden="1" x14ac:dyDescent="0.2">
      <c r="A1706">
        <v>2024</v>
      </c>
      <c r="B1706" t="s">
        <v>379</v>
      </c>
      <c r="C1706" t="s">
        <v>365</v>
      </c>
      <c r="D1706">
        <v>459</v>
      </c>
    </row>
    <row r="1707" spans="1:4" hidden="1" x14ac:dyDescent="0.2">
      <c r="A1707">
        <v>2024</v>
      </c>
      <c r="B1707" t="s">
        <v>379</v>
      </c>
      <c r="C1707" t="s">
        <v>367</v>
      </c>
      <c r="D1707">
        <v>8</v>
      </c>
    </row>
    <row r="1708" spans="1:4" hidden="1" x14ac:dyDescent="0.2">
      <c r="A1708">
        <v>2024</v>
      </c>
      <c r="B1708" t="s">
        <v>456</v>
      </c>
      <c r="C1708" t="s">
        <v>365</v>
      </c>
      <c r="D1708">
        <v>48</v>
      </c>
    </row>
    <row r="1709" spans="1:4" hidden="1" x14ac:dyDescent="0.2">
      <c r="A1709">
        <v>2024</v>
      </c>
      <c r="B1709" t="s">
        <v>456</v>
      </c>
      <c r="C1709" t="s">
        <v>366</v>
      </c>
      <c r="D1709">
        <v>18</v>
      </c>
    </row>
    <row r="1710" spans="1:4" hidden="1" x14ac:dyDescent="0.2">
      <c r="A1710">
        <v>2024</v>
      </c>
      <c r="B1710" t="s">
        <v>464</v>
      </c>
      <c r="C1710" t="s">
        <v>365</v>
      </c>
      <c r="D1710">
        <v>48</v>
      </c>
    </row>
    <row r="1711" spans="1:4" hidden="1" x14ac:dyDescent="0.2">
      <c r="A1711">
        <v>2024</v>
      </c>
      <c r="B1711" t="s">
        <v>467</v>
      </c>
      <c r="C1711" t="s">
        <v>365</v>
      </c>
      <c r="D1711">
        <v>2</v>
      </c>
    </row>
    <row r="1712" spans="1:4" hidden="1" x14ac:dyDescent="0.2">
      <c r="A1712">
        <v>2024</v>
      </c>
      <c r="B1712" t="s">
        <v>468</v>
      </c>
      <c r="C1712" t="s">
        <v>365</v>
      </c>
      <c r="D1712">
        <v>1</v>
      </c>
    </row>
    <row r="1713" spans="1:4" hidden="1" x14ac:dyDescent="0.2">
      <c r="A1713">
        <v>2024</v>
      </c>
      <c r="B1713" t="s">
        <v>380</v>
      </c>
      <c r="C1713" t="s">
        <v>365</v>
      </c>
      <c r="D1713">
        <v>304</v>
      </c>
    </row>
    <row r="1714" spans="1:4" hidden="1" x14ac:dyDescent="0.2">
      <c r="A1714">
        <v>2024</v>
      </c>
      <c r="B1714" t="s">
        <v>381</v>
      </c>
      <c r="C1714" t="s">
        <v>365</v>
      </c>
      <c r="D1714">
        <v>17332</v>
      </c>
    </row>
    <row r="1715" spans="1:4" hidden="1" x14ac:dyDescent="0.2">
      <c r="A1715">
        <v>2024</v>
      </c>
      <c r="B1715" t="s">
        <v>381</v>
      </c>
      <c r="C1715" t="s">
        <v>366</v>
      </c>
      <c r="D1715">
        <v>15</v>
      </c>
    </row>
    <row r="1716" spans="1:4" hidden="1" x14ac:dyDescent="0.2">
      <c r="A1716">
        <v>2024</v>
      </c>
      <c r="B1716" t="s">
        <v>381</v>
      </c>
      <c r="C1716" t="s">
        <v>367</v>
      </c>
      <c r="D1716">
        <v>3399</v>
      </c>
    </row>
    <row r="1717" spans="1:4" hidden="1" x14ac:dyDescent="0.2">
      <c r="A1717">
        <v>2024</v>
      </c>
      <c r="B1717" t="s">
        <v>381</v>
      </c>
      <c r="C1717" t="s">
        <v>368</v>
      </c>
      <c r="D1717">
        <v>27</v>
      </c>
    </row>
    <row r="1718" spans="1:4" hidden="1" x14ac:dyDescent="0.2">
      <c r="A1718">
        <v>2024</v>
      </c>
      <c r="B1718" t="s">
        <v>381</v>
      </c>
      <c r="C1718" t="s">
        <v>364</v>
      </c>
      <c r="D1718">
        <v>360</v>
      </c>
    </row>
    <row r="1719" spans="1:4" hidden="1" x14ac:dyDescent="0.2">
      <c r="A1719">
        <v>2024</v>
      </c>
      <c r="B1719" t="s">
        <v>381</v>
      </c>
      <c r="C1719" t="s">
        <v>370</v>
      </c>
      <c r="D1719">
        <v>4</v>
      </c>
    </row>
    <row r="1720" spans="1:4" hidden="1" x14ac:dyDescent="0.2">
      <c r="A1720">
        <v>2024</v>
      </c>
      <c r="B1720" t="s">
        <v>382</v>
      </c>
      <c r="C1720" t="s">
        <v>365</v>
      </c>
      <c r="D1720">
        <v>157</v>
      </c>
    </row>
    <row r="1721" spans="1:4" hidden="1" x14ac:dyDescent="0.2">
      <c r="A1721">
        <v>2024</v>
      </c>
      <c r="B1721" t="s">
        <v>382</v>
      </c>
      <c r="C1721" t="s">
        <v>366</v>
      </c>
      <c r="D1721">
        <v>1</v>
      </c>
    </row>
    <row r="1722" spans="1:4" hidden="1" x14ac:dyDescent="0.2">
      <c r="A1722">
        <v>2024</v>
      </c>
      <c r="B1722" t="s">
        <v>469</v>
      </c>
      <c r="C1722" t="s">
        <v>365</v>
      </c>
      <c r="D1722">
        <v>1</v>
      </c>
    </row>
    <row r="1723" spans="1:4" hidden="1" x14ac:dyDescent="0.2">
      <c r="A1723">
        <v>2024</v>
      </c>
      <c r="B1723" t="s">
        <v>383</v>
      </c>
      <c r="C1723" t="s">
        <v>365</v>
      </c>
      <c r="D1723">
        <v>42997</v>
      </c>
    </row>
    <row r="1724" spans="1:4" hidden="1" x14ac:dyDescent="0.2">
      <c r="A1724">
        <v>2024</v>
      </c>
      <c r="B1724" t="s">
        <v>383</v>
      </c>
      <c r="C1724" t="s">
        <v>366</v>
      </c>
      <c r="D1724">
        <v>4495</v>
      </c>
    </row>
    <row r="1725" spans="1:4" hidden="1" x14ac:dyDescent="0.2">
      <c r="A1725">
        <v>2024</v>
      </c>
      <c r="B1725" t="s">
        <v>383</v>
      </c>
      <c r="C1725" t="s">
        <v>367</v>
      </c>
      <c r="D1725">
        <v>2754</v>
      </c>
    </row>
    <row r="1726" spans="1:4" hidden="1" x14ac:dyDescent="0.2">
      <c r="A1726">
        <v>2024</v>
      </c>
      <c r="B1726" t="s">
        <v>383</v>
      </c>
      <c r="C1726" t="s">
        <v>368</v>
      </c>
      <c r="D1726">
        <v>509</v>
      </c>
    </row>
    <row r="1727" spans="1:4" hidden="1" x14ac:dyDescent="0.2">
      <c r="A1727">
        <v>2024</v>
      </c>
      <c r="B1727" t="s">
        <v>383</v>
      </c>
      <c r="C1727" t="s">
        <v>364</v>
      </c>
      <c r="D1727">
        <v>3061</v>
      </c>
    </row>
    <row r="1728" spans="1:4" hidden="1" x14ac:dyDescent="0.2">
      <c r="A1728">
        <v>2024</v>
      </c>
      <c r="B1728" t="s">
        <v>383</v>
      </c>
      <c r="C1728" t="s">
        <v>370</v>
      </c>
      <c r="D1728">
        <v>1</v>
      </c>
    </row>
    <row r="1729" spans="1:4" hidden="1" x14ac:dyDescent="0.2">
      <c r="A1729">
        <v>2024</v>
      </c>
      <c r="B1729" t="s">
        <v>470</v>
      </c>
      <c r="C1729" t="s">
        <v>365</v>
      </c>
      <c r="D1729">
        <v>1</v>
      </c>
    </row>
    <row r="1730" spans="1:4" hidden="1" x14ac:dyDescent="0.2">
      <c r="A1730">
        <v>2024</v>
      </c>
      <c r="B1730" t="s">
        <v>384</v>
      </c>
      <c r="C1730" t="s">
        <v>365</v>
      </c>
      <c r="D1730">
        <v>1011</v>
      </c>
    </row>
    <row r="1731" spans="1:4" hidden="1" x14ac:dyDescent="0.2">
      <c r="A1731">
        <v>2024</v>
      </c>
      <c r="B1731" t="s">
        <v>384</v>
      </c>
      <c r="C1731" t="s">
        <v>366</v>
      </c>
      <c r="D1731">
        <v>19</v>
      </c>
    </row>
    <row r="1732" spans="1:4" hidden="1" x14ac:dyDescent="0.2">
      <c r="A1732">
        <v>2024</v>
      </c>
      <c r="B1732" t="s">
        <v>384</v>
      </c>
      <c r="C1732" t="s">
        <v>368</v>
      </c>
      <c r="D1732">
        <v>6</v>
      </c>
    </row>
    <row r="1733" spans="1:4" hidden="1" x14ac:dyDescent="0.2">
      <c r="A1733">
        <v>2024</v>
      </c>
      <c r="B1733" t="s">
        <v>471</v>
      </c>
      <c r="C1733" t="s">
        <v>365</v>
      </c>
      <c r="D1733">
        <v>1</v>
      </c>
    </row>
    <row r="1734" spans="1:4" hidden="1" x14ac:dyDescent="0.2">
      <c r="A1734">
        <v>2024</v>
      </c>
      <c r="B1734" t="s">
        <v>472</v>
      </c>
      <c r="C1734" t="s">
        <v>365</v>
      </c>
      <c r="D1734">
        <v>1</v>
      </c>
    </row>
    <row r="1735" spans="1:4" hidden="1" x14ac:dyDescent="0.2">
      <c r="A1735">
        <v>2024</v>
      </c>
      <c r="B1735" t="s">
        <v>460</v>
      </c>
      <c r="C1735" t="s">
        <v>364</v>
      </c>
      <c r="D1735">
        <v>692</v>
      </c>
    </row>
    <row r="1736" spans="1:4" hidden="1" x14ac:dyDescent="0.2">
      <c r="A1736">
        <v>2024</v>
      </c>
      <c r="B1736" t="s">
        <v>473</v>
      </c>
      <c r="C1736" t="s">
        <v>365</v>
      </c>
      <c r="D1736">
        <v>4</v>
      </c>
    </row>
    <row r="1737" spans="1:4" hidden="1" x14ac:dyDescent="0.2">
      <c r="A1737">
        <v>2024</v>
      </c>
      <c r="B1737" t="s">
        <v>458</v>
      </c>
      <c r="C1737" t="s">
        <v>364</v>
      </c>
      <c r="D1737">
        <v>8567</v>
      </c>
    </row>
    <row r="1738" spans="1:4" hidden="1" x14ac:dyDescent="0.2">
      <c r="A1738">
        <v>2024</v>
      </c>
      <c r="B1738" t="s">
        <v>385</v>
      </c>
      <c r="C1738" t="s">
        <v>365</v>
      </c>
      <c r="D1738">
        <v>3</v>
      </c>
    </row>
    <row r="1739" spans="1:4" hidden="1" x14ac:dyDescent="0.2">
      <c r="A1739">
        <v>2024</v>
      </c>
      <c r="B1739" t="s">
        <v>474</v>
      </c>
      <c r="C1739" t="s">
        <v>365</v>
      </c>
      <c r="D1739">
        <v>1</v>
      </c>
    </row>
    <row r="1740" spans="1:4" hidden="1" x14ac:dyDescent="0.2">
      <c r="A1740">
        <v>2024</v>
      </c>
      <c r="B1740" t="s">
        <v>475</v>
      </c>
      <c r="C1740" t="s">
        <v>365</v>
      </c>
      <c r="D1740">
        <v>1</v>
      </c>
    </row>
    <row r="1741" spans="1:4" hidden="1" x14ac:dyDescent="0.2">
      <c r="A1741">
        <v>2024</v>
      </c>
      <c r="B1741" t="s">
        <v>439</v>
      </c>
      <c r="C1741" t="s">
        <v>365</v>
      </c>
      <c r="D1741">
        <v>23</v>
      </c>
    </row>
    <row r="1742" spans="1:4" hidden="1" x14ac:dyDescent="0.2">
      <c r="A1742">
        <v>2024</v>
      </c>
      <c r="B1742" t="s">
        <v>439</v>
      </c>
      <c r="C1742" t="s">
        <v>368</v>
      </c>
      <c r="D1742">
        <v>3</v>
      </c>
    </row>
    <row r="1743" spans="1:4" hidden="1" x14ac:dyDescent="0.2">
      <c r="A1743">
        <v>2024</v>
      </c>
      <c r="B1743" t="s">
        <v>439</v>
      </c>
      <c r="C1743" t="s">
        <v>364</v>
      </c>
      <c r="D1743">
        <v>113</v>
      </c>
    </row>
    <row r="1744" spans="1:4" hidden="1" x14ac:dyDescent="0.2">
      <c r="A1744">
        <v>2024</v>
      </c>
      <c r="B1744" t="s">
        <v>386</v>
      </c>
      <c r="C1744" t="s">
        <v>365</v>
      </c>
      <c r="D1744">
        <v>1535</v>
      </c>
    </row>
    <row r="1745" spans="1:4" hidden="1" x14ac:dyDescent="0.2">
      <c r="A1745">
        <v>2024</v>
      </c>
      <c r="B1745" t="s">
        <v>387</v>
      </c>
      <c r="C1745" t="s">
        <v>365</v>
      </c>
      <c r="D1745">
        <v>27</v>
      </c>
    </row>
    <row r="1746" spans="1:4" hidden="1" x14ac:dyDescent="0.2">
      <c r="A1746">
        <v>2024</v>
      </c>
      <c r="B1746" t="s">
        <v>387</v>
      </c>
      <c r="C1746" t="s">
        <v>366</v>
      </c>
      <c r="D1746">
        <v>5</v>
      </c>
    </row>
    <row r="1747" spans="1:4" hidden="1" x14ac:dyDescent="0.2">
      <c r="A1747">
        <v>2024</v>
      </c>
      <c r="B1747" t="s">
        <v>388</v>
      </c>
      <c r="C1747" t="s">
        <v>365</v>
      </c>
      <c r="D1747">
        <v>2130</v>
      </c>
    </row>
    <row r="1748" spans="1:4" hidden="1" x14ac:dyDescent="0.2">
      <c r="A1748">
        <v>2024</v>
      </c>
      <c r="B1748" t="s">
        <v>388</v>
      </c>
      <c r="C1748" t="s">
        <v>366</v>
      </c>
      <c r="D1748">
        <v>1528</v>
      </c>
    </row>
    <row r="1749" spans="1:4" hidden="1" x14ac:dyDescent="0.2">
      <c r="A1749">
        <v>2024</v>
      </c>
      <c r="B1749" t="s">
        <v>388</v>
      </c>
      <c r="C1749" t="s">
        <v>364</v>
      </c>
      <c r="D1749">
        <v>99</v>
      </c>
    </row>
    <row r="1750" spans="1:4" hidden="1" x14ac:dyDescent="0.2">
      <c r="A1750">
        <v>2024</v>
      </c>
      <c r="B1750" t="s">
        <v>388</v>
      </c>
      <c r="C1750" t="s">
        <v>370</v>
      </c>
      <c r="D1750">
        <v>2</v>
      </c>
    </row>
    <row r="1751" spans="1:4" hidden="1" x14ac:dyDescent="0.2">
      <c r="A1751">
        <v>2024</v>
      </c>
      <c r="B1751" t="s">
        <v>390</v>
      </c>
      <c r="C1751" t="s">
        <v>365</v>
      </c>
      <c r="D1751">
        <v>345</v>
      </c>
    </row>
    <row r="1752" spans="1:4" hidden="1" x14ac:dyDescent="0.2">
      <c r="A1752">
        <v>2024</v>
      </c>
      <c r="B1752" t="s">
        <v>391</v>
      </c>
      <c r="C1752" t="s">
        <v>365</v>
      </c>
      <c r="D1752">
        <v>21</v>
      </c>
    </row>
    <row r="1753" spans="1:4" hidden="1" x14ac:dyDescent="0.2">
      <c r="A1753">
        <v>2024</v>
      </c>
      <c r="B1753" t="s">
        <v>392</v>
      </c>
      <c r="C1753" t="s">
        <v>365</v>
      </c>
      <c r="D1753">
        <v>36</v>
      </c>
    </row>
    <row r="1754" spans="1:4" hidden="1" x14ac:dyDescent="0.2">
      <c r="A1754">
        <v>2024</v>
      </c>
      <c r="B1754" t="s">
        <v>476</v>
      </c>
      <c r="C1754" t="s">
        <v>365</v>
      </c>
      <c r="D1754">
        <v>1</v>
      </c>
    </row>
    <row r="1755" spans="1:4" hidden="1" x14ac:dyDescent="0.2">
      <c r="A1755">
        <v>2024</v>
      </c>
      <c r="B1755" t="s">
        <v>440</v>
      </c>
      <c r="C1755" t="s">
        <v>365</v>
      </c>
      <c r="D1755">
        <v>1</v>
      </c>
    </row>
    <row r="1756" spans="1:4" hidden="1" x14ac:dyDescent="0.2">
      <c r="A1756">
        <v>2024</v>
      </c>
      <c r="B1756" t="s">
        <v>443</v>
      </c>
      <c r="C1756" t="s">
        <v>365</v>
      </c>
      <c r="D1756">
        <v>2</v>
      </c>
    </row>
    <row r="1757" spans="1:4" hidden="1" x14ac:dyDescent="0.2">
      <c r="A1757">
        <v>2024</v>
      </c>
      <c r="B1757" t="s">
        <v>443</v>
      </c>
      <c r="C1757" t="s">
        <v>364</v>
      </c>
      <c r="D1757">
        <v>22</v>
      </c>
    </row>
    <row r="1758" spans="1:4" hidden="1" x14ac:dyDescent="0.2">
      <c r="A1758">
        <v>2024</v>
      </c>
      <c r="B1758" t="s">
        <v>477</v>
      </c>
      <c r="C1758" t="s">
        <v>365</v>
      </c>
      <c r="D1758">
        <v>1</v>
      </c>
    </row>
    <row r="1759" spans="1:4" hidden="1" x14ac:dyDescent="0.2">
      <c r="A1759">
        <v>2024</v>
      </c>
      <c r="B1759" t="s">
        <v>393</v>
      </c>
      <c r="C1759" t="s">
        <v>365</v>
      </c>
      <c r="D1759">
        <v>914</v>
      </c>
    </row>
    <row r="1760" spans="1:4" hidden="1" x14ac:dyDescent="0.2">
      <c r="A1760">
        <v>2024</v>
      </c>
      <c r="B1760" t="s">
        <v>393</v>
      </c>
      <c r="C1760" t="s">
        <v>368</v>
      </c>
      <c r="D1760">
        <v>77</v>
      </c>
    </row>
    <row r="1761" spans="1:4" hidden="1" x14ac:dyDescent="0.2">
      <c r="A1761">
        <v>2024</v>
      </c>
      <c r="B1761" t="s">
        <v>394</v>
      </c>
      <c r="C1761" t="s">
        <v>365</v>
      </c>
      <c r="D1761">
        <v>138</v>
      </c>
    </row>
    <row r="1762" spans="1:4" hidden="1" x14ac:dyDescent="0.2">
      <c r="A1762">
        <v>2024</v>
      </c>
      <c r="B1762" t="s">
        <v>394</v>
      </c>
      <c r="C1762" t="s">
        <v>366</v>
      </c>
      <c r="D1762">
        <v>3</v>
      </c>
    </row>
    <row r="1763" spans="1:4" hidden="1" x14ac:dyDescent="0.2">
      <c r="A1763">
        <v>2024</v>
      </c>
      <c r="B1763" t="s">
        <v>394</v>
      </c>
      <c r="C1763" t="s">
        <v>364</v>
      </c>
      <c r="D1763">
        <v>5</v>
      </c>
    </row>
    <row r="1764" spans="1:4" hidden="1" x14ac:dyDescent="0.2">
      <c r="A1764">
        <v>2024</v>
      </c>
      <c r="B1764" t="s">
        <v>395</v>
      </c>
      <c r="C1764" t="s">
        <v>365</v>
      </c>
      <c r="D1764">
        <v>1133</v>
      </c>
    </row>
    <row r="1765" spans="1:4" hidden="1" x14ac:dyDescent="0.2">
      <c r="A1765">
        <v>2024</v>
      </c>
      <c r="B1765" t="s">
        <v>395</v>
      </c>
      <c r="C1765" t="s">
        <v>366</v>
      </c>
      <c r="D1765">
        <v>61</v>
      </c>
    </row>
    <row r="1766" spans="1:4" hidden="1" x14ac:dyDescent="0.2">
      <c r="A1766">
        <v>2024</v>
      </c>
      <c r="B1766" t="s">
        <v>395</v>
      </c>
      <c r="C1766" t="s">
        <v>364</v>
      </c>
      <c r="D1766">
        <v>1</v>
      </c>
    </row>
    <row r="1767" spans="1:4" hidden="1" x14ac:dyDescent="0.2">
      <c r="A1767">
        <v>2024</v>
      </c>
      <c r="B1767" t="s">
        <v>478</v>
      </c>
      <c r="C1767" t="s">
        <v>365</v>
      </c>
      <c r="D1767">
        <v>2</v>
      </c>
    </row>
    <row r="1768" spans="1:4" hidden="1" x14ac:dyDescent="0.2">
      <c r="A1768">
        <v>2024</v>
      </c>
      <c r="B1768" t="s">
        <v>509</v>
      </c>
      <c r="C1768" t="s">
        <v>364</v>
      </c>
      <c r="D1768">
        <v>310</v>
      </c>
    </row>
    <row r="1769" spans="1:4" hidden="1" x14ac:dyDescent="0.2">
      <c r="A1769">
        <v>2024</v>
      </c>
      <c r="B1769" t="s">
        <v>441</v>
      </c>
      <c r="C1769" t="s">
        <v>365</v>
      </c>
      <c r="D1769">
        <v>2</v>
      </c>
    </row>
    <row r="1770" spans="1:4" hidden="1" x14ac:dyDescent="0.2">
      <c r="A1770">
        <v>2024</v>
      </c>
      <c r="B1770" t="s">
        <v>507</v>
      </c>
      <c r="C1770" t="s">
        <v>364</v>
      </c>
      <c r="D1770">
        <v>201</v>
      </c>
    </row>
    <row r="1771" spans="1:4" hidden="1" x14ac:dyDescent="0.2">
      <c r="A1771">
        <v>2024</v>
      </c>
      <c r="B1771" t="s">
        <v>444</v>
      </c>
      <c r="C1771" t="s">
        <v>365</v>
      </c>
      <c r="D1771">
        <v>1</v>
      </c>
    </row>
    <row r="1772" spans="1:4" hidden="1" x14ac:dyDescent="0.2">
      <c r="A1772">
        <v>2024</v>
      </c>
      <c r="B1772" t="s">
        <v>479</v>
      </c>
      <c r="C1772" t="s">
        <v>365</v>
      </c>
      <c r="D1772">
        <v>3</v>
      </c>
    </row>
    <row r="1773" spans="1:4" hidden="1" x14ac:dyDescent="0.2">
      <c r="A1773">
        <v>2024</v>
      </c>
      <c r="B1773" t="s">
        <v>396</v>
      </c>
      <c r="C1773" t="s">
        <v>365</v>
      </c>
      <c r="D1773">
        <v>1</v>
      </c>
    </row>
    <row r="1774" spans="1:4" hidden="1" x14ac:dyDescent="0.2">
      <c r="A1774">
        <v>2024</v>
      </c>
      <c r="B1774" t="s">
        <v>397</v>
      </c>
      <c r="C1774" t="s">
        <v>365</v>
      </c>
      <c r="D1774">
        <v>84770</v>
      </c>
    </row>
    <row r="1775" spans="1:4" hidden="1" x14ac:dyDescent="0.2">
      <c r="A1775">
        <v>2024</v>
      </c>
      <c r="B1775" t="s">
        <v>397</v>
      </c>
      <c r="C1775" t="s">
        <v>367</v>
      </c>
      <c r="D1775">
        <v>18246</v>
      </c>
    </row>
    <row r="1776" spans="1:4" hidden="1" x14ac:dyDescent="0.2">
      <c r="A1776">
        <v>2024</v>
      </c>
      <c r="B1776" t="s">
        <v>397</v>
      </c>
      <c r="C1776" t="s">
        <v>369</v>
      </c>
      <c r="D1776">
        <v>2</v>
      </c>
    </row>
    <row r="1777" spans="1:4" hidden="1" x14ac:dyDescent="0.2">
      <c r="A1777">
        <v>2024</v>
      </c>
      <c r="B1777" t="s">
        <v>397</v>
      </c>
      <c r="C1777" t="s">
        <v>364</v>
      </c>
      <c r="D1777">
        <v>43</v>
      </c>
    </row>
    <row r="1778" spans="1:4" hidden="1" x14ac:dyDescent="0.2">
      <c r="A1778">
        <v>2024</v>
      </c>
      <c r="B1778" t="s">
        <v>451</v>
      </c>
      <c r="C1778" t="s">
        <v>365</v>
      </c>
      <c r="D1778">
        <v>22</v>
      </c>
    </row>
    <row r="1779" spans="1:4" hidden="1" x14ac:dyDescent="0.2">
      <c r="A1779">
        <v>2024</v>
      </c>
      <c r="B1779" t="s">
        <v>398</v>
      </c>
      <c r="C1779" t="s">
        <v>365</v>
      </c>
      <c r="D1779">
        <v>28123</v>
      </c>
    </row>
    <row r="1780" spans="1:4" hidden="1" x14ac:dyDescent="0.2">
      <c r="A1780">
        <v>2024</v>
      </c>
      <c r="B1780" t="s">
        <v>398</v>
      </c>
      <c r="C1780" t="s">
        <v>366</v>
      </c>
      <c r="D1780">
        <v>101</v>
      </c>
    </row>
    <row r="1781" spans="1:4" hidden="1" x14ac:dyDescent="0.2">
      <c r="A1781">
        <v>2024</v>
      </c>
      <c r="B1781" t="s">
        <v>398</v>
      </c>
      <c r="C1781" t="s">
        <v>367</v>
      </c>
      <c r="D1781">
        <v>3118</v>
      </c>
    </row>
    <row r="1782" spans="1:4" hidden="1" x14ac:dyDescent="0.2">
      <c r="A1782">
        <v>2024</v>
      </c>
      <c r="B1782" t="s">
        <v>398</v>
      </c>
      <c r="C1782" t="s">
        <v>369</v>
      </c>
    </row>
    <row r="1783" spans="1:4" hidden="1" x14ac:dyDescent="0.2">
      <c r="A1783">
        <v>2024</v>
      </c>
      <c r="B1783" t="s">
        <v>398</v>
      </c>
      <c r="C1783" t="s">
        <v>364</v>
      </c>
      <c r="D1783">
        <v>1898</v>
      </c>
    </row>
    <row r="1784" spans="1:4" hidden="1" x14ac:dyDescent="0.2">
      <c r="A1784">
        <v>2024</v>
      </c>
      <c r="B1784" t="s">
        <v>453</v>
      </c>
      <c r="C1784" t="s">
        <v>365</v>
      </c>
      <c r="D1784">
        <v>1049</v>
      </c>
    </row>
    <row r="1785" spans="1:4" hidden="1" x14ac:dyDescent="0.2">
      <c r="A1785">
        <v>2024</v>
      </c>
      <c r="B1785" t="s">
        <v>453</v>
      </c>
      <c r="C1785" t="s">
        <v>366</v>
      </c>
      <c r="D1785">
        <v>201</v>
      </c>
    </row>
    <row r="1786" spans="1:4" hidden="1" x14ac:dyDescent="0.2">
      <c r="A1786">
        <v>2024</v>
      </c>
      <c r="B1786" t="s">
        <v>453</v>
      </c>
      <c r="C1786" t="s">
        <v>367</v>
      </c>
      <c r="D1786">
        <v>2</v>
      </c>
    </row>
    <row r="1787" spans="1:4" hidden="1" x14ac:dyDescent="0.2">
      <c r="A1787">
        <v>2024</v>
      </c>
      <c r="B1787" t="s">
        <v>480</v>
      </c>
      <c r="C1787" t="s">
        <v>365</v>
      </c>
      <c r="D1787">
        <v>1</v>
      </c>
    </row>
    <row r="1788" spans="1:4" hidden="1" x14ac:dyDescent="0.2">
      <c r="A1788">
        <v>2024</v>
      </c>
      <c r="B1788" t="s">
        <v>508</v>
      </c>
      <c r="C1788" t="s">
        <v>365</v>
      </c>
      <c r="D1788">
        <v>1</v>
      </c>
    </row>
    <row r="1789" spans="1:4" hidden="1" x14ac:dyDescent="0.2">
      <c r="A1789">
        <v>2024</v>
      </c>
      <c r="B1789" t="s">
        <v>400</v>
      </c>
      <c r="C1789" t="s">
        <v>365</v>
      </c>
      <c r="D1789">
        <v>2305</v>
      </c>
    </row>
    <row r="1790" spans="1:4" hidden="1" x14ac:dyDescent="0.2">
      <c r="A1790">
        <v>2024</v>
      </c>
      <c r="B1790" t="s">
        <v>400</v>
      </c>
      <c r="C1790" t="s">
        <v>366</v>
      </c>
      <c r="D1790">
        <v>476</v>
      </c>
    </row>
    <row r="1791" spans="1:4" hidden="1" x14ac:dyDescent="0.2">
      <c r="A1791">
        <v>2024</v>
      </c>
      <c r="B1791" t="s">
        <v>400</v>
      </c>
      <c r="C1791" t="s">
        <v>367</v>
      </c>
      <c r="D1791">
        <v>106</v>
      </c>
    </row>
    <row r="1792" spans="1:4" hidden="1" x14ac:dyDescent="0.2">
      <c r="A1792">
        <v>2024</v>
      </c>
      <c r="B1792" t="s">
        <v>400</v>
      </c>
      <c r="C1792" t="s">
        <v>364</v>
      </c>
      <c r="D1792">
        <v>51</v>
      </c>
    </row>
    <row r="1793" spans="1:4" hidden="1" x14ac:dyDescent="0.2">
      <c r="A1793">
        <v>2024</v>
      </c>
      <c r="B1793" t="s">
        <v>401</v>
      </c>
      <c r="C1793" t="s">
        <v>365</v>
      </c>
      <c r="D1793">
        <v>377</v>
      </c>
    </row>
    <row r="1794" spans="1:4" hidden="1" x14ac:dyDescent="0.2">
      <c r="A1794">
        <v>2024</v>
      </c>
      <c r="B1794" t="s">
        <v>401</v>
      </c>
      <c r="C1794" t="s">
        <v>366</v>
      </c>
      <c r="D1794">
        <v>7</v>
      </c>
    </row>
    <row r="1795" spans="1:4" hidden="1" x14ac:dyDescent="0.2">
      <c r="A1795">
        <v>2024</v>
      </c>
      <c r="B1795" t="s">
        <v>401</v>
      </c>
      <c r="C1795" t="s">
        <v>368</v>
      </c>
      <c r="D1795">
        <v>1</v>
      </c>
    </row>
    <row r="1796" spans="1:4" hidden="1" x14ac:dyDescent="0.2">
      <c r="A1796">
        <v>2024</v>
      </c>
      <c r="B1796" t="s">
        <v>481</v>
      </c>
      <c r="C1796" t="s">
        <v>365</v>
      </c>
      <c r="D1796">
        <v>1</v>
      </c>
    </row>
    <row r="1797" spans="1:4" hidden="1" x14ac:dyDescent="0.2">
      <c r="A1797">
        <v>2024</v>
      </c>
      <c r="B1797" t="s">
        <v>402</v>
      </c>
      <c r="C1797" t="s">
        <v>365</v>
      </c>
      <c r="D1797">
        <v>17996</v>
      </c>
    </row>
    <row r="1798" spans="1:4" hidden="1" x14ac:dyDescent="0.2">
      <c r="A1798">
        <v>2024</v>
      </c>
      <c r="B1798" t="s">
        <v>402</v>
      </c>
      <c r="C1798" t="s">
        <v>366</v>
      </c>
      <c r="D1798">
        <v>2441</v>
      </c>
    </row>
    <row r="1799" spans="1:4" hidden="1" x14ac:dyDescent="0.2">
      <c r="A1799">
        <v>2024</v>
      </c>
      <c r="B1799" t="s">
        <v>402</v>
      </c>
      <c r="C1799" t="s">
        <v>367</v>
      </c>
      <c r="D1799">
        <v>3624</v>
      </c>
    </row>
    <row r="1800" spans="1:4" hidden="1" x14ac:dyDescent="0.2">
      <c r="A1800">
        <v>2024</v>
      </c>
      <c r="B1800" t="s">
        <v>402</v>
      </c>
      <c r="C1800" t="s">
        <v>369</v>
      </c>
    </row>
    <row r="1801" spans="1:4" hidden="1" x14ac:dyDescent="0.2">
      <c r="A1801">
        <v>2024</v>
      </c>
      <c r="B1801" t="s">
        <v>402</v>
      </c>
      <c r="C1801" t="s">
        <v>364</v>
      </c>
      <c r="D1801">
        <v>119</v>
      </c>
    </row>
    <row r="1802" spans="1:4" hidden="1" x14ac:dyDescent="0.2">
      <c r="A1802">
        <v>2024</v>
      </c>
      <c r="B1802" t="s">
        <v>482</v>
      </c>
      <c r="C1802" t="s">
        <v>365</v>
      </c>
      <c r="D1802">
        <v>3</v>
      </c>
    </row>
    <row r="1803" spans="1:4" hidden="1" x14ac:dyDescent="0.2">
      <c r="A1803">
        <v>2024</v>
      </c>
      <c r="B1803" t="s">
        <v>483</v>
      </c>
      <c r="C1803" t="s">
        <v>365</v>
      </c>
      <c r="D1803">
        <v>2</v>
      </c>
    </row>
    <row r="1804" spans="1:4" hidden="1" x14ac:dyDescent="0.2">
      <c r="A1804">
        <v>2024</v>
      </c>
      <c r="B1804" t="s">
        <v>403</v>
      </c>
      <c r="C1804" t="s">
        <v>365</v>
      </c>
      <c r="D1804">
        <v>473</v>
      </c>
    </row>
    <row r="1805" spans="1:4" hidden="1" x14ac:dyDescent="0.2">
      <c r="A1805">
        <v>2024</v>
      </c>
      <c r="B1805" t="s">
        <v>403</v>
      </c>
      <c r="C1805" t="s">
        <v>368</v>
      </c>
      <c r="D1805">
        <v>7</v>
      </c>
    </row>
    <row r="1806" spans="1:4" hidden="1" x14ac:dyDescent="0.2">
      <c r="A1806">
        <v>2024</v>
      </c>
      <c r="B1806" t="s">
        <v>404</v>
      </c>
      <c r="C1806" t="s">
        <v>365</v>
      </c>
      <c r="D1806">
        <v>9</v>
      </c>
    </row>
    <row r="1807" spans="1:4" hidden="1" x14ac:dyDescent="0.2">
      <c r="A1807">
        <v>2024</v>
      </c>
      <c r="B1807" t="s">
        <v>405</v>
      </c>
      <c r="C1807" t="s">
        <v>365</v>
      </c>
      <c r="D1807">
        <v>1559</v>
      </c>
    </row>
    <row r="1808" spans="1:4" hidden="1" x14ac:dyDescent="0.2">
      <c r="A1808">
        <v>2024</v>
      </c>
      <c r="B1808" t="s">
        <v>405</v>
      </c>
      <c r="C1808" t="s">
        <v>366</v>
      </c>
      <c r="D1808">
        <v>540</v>
      </c>
    </row>
    <row r="1809" spans="1:4" hidden="1" x14ac:dyDescent="0.2">
      <c r="A1809">
        <v>2024</v>
      </c>
      <c r="B1809" t="s">
        <v>405</v>
      </c>
      <c r="C1809" t="s">
        <v>367</v>
      </c>
      <c r="D1809">
        <v>883</v>
      </c>
    </row>
    <row r="1810" spans="1:4" hidden="1" x14ac:dyDescent="0.2">
      <c r="A1810">
        <v>2024</v>
      </c>
      <c r="B1810" t="s">
        <v>405</v>
      </c>
      <c r="C1810" t="s">
        <v>368</v>
      </c>
      <c r="D1810">
        <v>30</v>
      </c>
    </row>
    <row r="1811" spans="1:4" hidden="1" x14ac:dyDescent="0.2">
      <c r="A1811">
        <v>2024</v>
      </c>
      <c r="B1811" t="s">
        <v>405</v>
      </c>
      <c r="C1811" t="s">
        <v>370</v>
      </c>
      <c r="D1811">
        <v>2</v>
      </c>
    </row>
    <row r="1812" spans="1:4" hidden="1" x14ac:dyDescent="0.2">
      <c r="A1812">
        <v>2024</v>
      </c>
      <c r="B1812" t="s">
        <v>484</v>
      </c>
      <c r="C1812" t="s">
        <v>365</v>
      </c>
      <c r="D1812">
        <v>1</v>
      </c>
    </row>
    <row r="1813" spans="1:4" hidden="1" x14ac:dyDescent="0.2">
      <c r="A1813">
        <v>2024</v>
      </c>
      <c r="B1813" t="s">
        <v>485</v>
      </c>
      <c r="C1813" t="s">
        <v>365</v>
      </c>
      <c r="D1813">
        <v>3</v>
      </c>
    </row>
    <row r="1814" spans="1:4" hidden="1" x14ac:dyDescent="0.2">
      <c r="A1814">
        <v>2024</v>
      </c>
      <c r="B1814" t="s">
        <v>486</v>
      </c>
      <c r="C1814" t="s">
        <v>365</v>
      </c>
      <c r="D1814">
        <v>1</v>
      </c>
    </row>
    <row r="1815" spans="1:4" hidden="1" x14ac:dyDescent="0.2">
      <c r="A1815">
        <v>2024</v>
      </c>
      <c r="B1815" t="s">
        <v>406</v>
      </c>
      <c r="C1815" t="s">
        <v>365</v>
      </c>
      <c r="D1815">
        <v>152</v>
      </c>
    </row>
    <row r="1816" spans="1:4" hidden="1" x14ac:dyDescent="0.2">
      <c r="A1816">
        <v>2024</v>
      </c>
      <c r="B1816" t="s">
        <v>406</v>
      </c>
      <c r="C1816" t="s">
        <v>364</v>
      </c>
      <c r="D1816">
        <v>12</v>
      </c>
    </row>
    <row r="1817" spans="1:4" hidden="1" x14ac:dyDescent="0.2">
      <c r="A1817">
        <v>2024</v>
      </c>
      <c r="B1817" t="s">
        <v>407</v>
      </c>
      <c r="C1817" t="s">
        <v>365</v>
      </c>
      <c r="D1817">
        <v>993</v>
      </c>
    </row>
    <row r="1818" spans="1:4" hidden="1" x14ac:dyDescent="0.2">
      <c r="A1818">
        <v>2024</v>
      </c>
      <c r="B1818" t="s">
        <v>407</v>
      </c>
      <c r="C1818" t="s">
        <v>368</v>
      </c>
      <c r="D1818">
        <v>3</v>
      </c>
    </row>
    <row r="1819" spans="1:4" hidden="1" x14ac:dyDescent="0.2">
      <c r="A1819">
        <v>2024</v>
      </c>
      <c r="B1819" t="s">
        <v>407</v>
      </c>
      <c r="C1819" t="s">
        <v>364</v>
      </c>
      <c r="D1819">
        <v>1029</v>
      </c>
    </row>
    <row r="1820" spans="1:4" hidden="1" x14ac:dyDescent="0.2">
      <c r="A1820">
        <v>2024</v>
      </c>
      <c r="B1820" t="s">
        <v>487</v>
      </c>
      <c r="C1820" t="s">
        <v>365</v>
      </c>
      <c r="D1820">
        <v>1</v>
      </c>
    </row>
    <row r="1821" spans="1:4" hidden="1" x14ac:dyDescent="0.2">
      <c r="A1821">
        <v>2024</v>
      </c>
      <c r="B1821" t="s">
        <v>408</v>
      </c>
      <c r="C1821" t="s">
        <v>365</v>
      </c>
      <c r="D1821">
        <v>1031</v>
      </c>
    </row>
    <row r="1822" spans="1:4" hidden="1" x14ac:dyDescent="0.2">
      <c r="A1822">
        <v>2024</v>
      </c>
      <c r="B1822" t="s">
        <v>408</v>
      </c>
      <c r="C1822" t="s">
        <v>366</v>
      </c>
      <c r="D1822">
        <v>61</v>
      </c>
    </row>
    <row r="1823" spans="1:4" hidden="1" x14ac:dyDescent="0.2">
      <c r="A1823">
        <v>2024</v>
      </c>
      <c r="B1823" t="s">
        <v>408</v>
      </c>
      <c r="C1823" t="s">
        <v>367</v>
      </c>
      <c r="D1823">
        <v>173</v>
      </c>
    </row>
    <row r="1824" spans="1:4" hidden="1" x14ac:dyDescent="0.2">
      <c r="A1824">
        <v>2024</v>
      </c>
      <c r="B1824" t="s">
        <v>461</v>
      </c>
      <c r="C1824" t="s">
        <v>365</v>
      </c>
      <c r="D1824">
        <v>50</v>
      </c>
    </row>
    <row r="1825" spans="1:4" hidden="1" x14ac:dyDescent="0.2">
      <c r="A1825">
        <v>2024</v>
      </c>
      <c r="B1825" t="s">
        <v>461</v>
      </c>
      <c r="C1825" t="s">
        <v>364</v>
      </c>
      <c r="D1825">
        <v>98</v>
      </c>
    </row>
    <row r="1826" spans="1:4" hidden="1" x14ac:dyDescent="0.2">
      <c r="A1826">
        <v>2024</v>
      </c>
      <c r="B1826" t="s">
        <v>488</v>
      </c>
      <c r="C1826" t="s">
        <v>365</v>
      </c>
      <c r="D1826">
        <v>1</v>
      </c>
    </row>
    <row r="1827" spans="1:4" hidden="1" x14ac:dyDescent="0.2">
      <c r="A1827">
        <v>2024</v>
      </c>
      <c r="B1827" t="s">
        <v>454</v>
      </c>
      <c r="C1827" t="s">
        <v>365</v>
      </c>
      <c r="D1827">
        <v>3</v>
      </c>
    </row>
    <row r="1828" spans="1:4" hidden="1" x14ac:dyDescent="0.2">
      <c r="A1828">
        <v>2024</v>
      </c>
      <c r="B1828" t="s">
        <v>409</v>
      </c>
      <c r="C1828" t="s">
        <v>365</v>
      </c>
      <c r="D1828">
        <v>31815</v>
      </c>
    </row>
    <row r="1829" spans="1:4" hidden="1" x14ac:dyDescent="0.2">
      <c r="A1829">
        <v>2024</v>
      </c>
      <c r="B1829" t="s">
        <v>409</v>
      </c>
      <c r="C1829" t="s">
        <v>366</v>
      </c>
      <c r="D1829">
        <v>71</v>
      </c>
    </row>
    <row r="1830" spans="1:4" hidden="1" x14ac:dyDescent="0.2">
      <c r="A1830">
        <v>2024</v>
      </c>
      <c r="B1830" t="s">
        <v>409</v>
      </c>
      <c r="C1830" t="s">
        <v>367</v>
      </c>
      <c r="D1830">
        <v>5347</v>
      </c>
    </row>
    <row r="1831" spans="1:4" hidden="1" x14ac:dyDescent="0.2">
      <c r="A1831">
        <v>2024</v>
      </c>
      <c r="B1831" t="s">
        <v>409</v>
      </c>
      <c r="C1831" t="s">
        <v>368</v>
      </c>
      <c r="D1831">
        <v>1</v>
      </c>
    </row>
    <row r="1832" spans="1:4" hidden="1" x14ac:dyDescent="0.2">
      <c r="A1832">
        <v>2024</v>
      </c>
      <c r="B1832" t="s">
        <v>409</v>
      </c>
      <c r="C1832" t="s">
        <v>364</v>
      </c>
      <c r="D1832">
        <v>19</v>
      </c>
    </row>
    <row r="1833" spans="1:4" hidden="1" x14ac:dyDescent="0.2">
      <c r="A1833">
        <v>2024</v>
      </c>
      <c r="B1833" t="s">
        <v>510</v>
      </c>
      <c r="C1833" t="s">
        <v>365</v>
      </c>
      <c r="D1833">
        <v>197</v>
      </c>
    </row>
    <row r="1834" spans="1:4" hidden="1" x14ac:dyDescent="0.2">
      <c r="A1834">
        <v>2024</v>
      </c>
      <c r="B1834" t="s">
        <v>510</v>
      </c>
      <c r="C1834" t="s">
        <v>368</v>
      </c>
      <c r="D1834">
        <v>6</v>
      </c>
    </row>
    <row r="1835" spans="1:4" hidden="1" x14ac:dyDescent="0.2">
      <c r="A1835">
        <v>2024</v>
      </c>
      <c r="B1835" t="s">
        <v>410</v>
      </c>
      <c r="C1835" t="s">
        <v>365</v>
      </c>
      <c r="D1835">
        <v>63654</v>
      </c>
    </row>
    <row r="1836" spans="1:4" hidden="1" x14ac:dyDescent="0.2">
      <c r="A1836">
        <v>2024</v>
      </c>
      <c r="B1836" t="s">
        <v>410</v>
      </c>
      <c r="C1836" t="s">
        <v>366</v>
      </c>
      <c r="D1836">
        <v>985</v>
      </c>
    </row>
    <row r="1837" spans="1:4" hidden="1" x14ac:dyDescent="0.2">
      <c r="A1837">
        <v>2024</v>
      </c>
      <c r="B1837" t="s">
        <v>410</v>
      </c>
      <c r="C1837" t="s">
        <v>367</v>
      </c>
      <c r="D1837">
        <v>10710</v>
      </c>
    </row>
    <row r="1838" spans="1:4" hidden="1" x14ac:dyDescent="0.2">
      <c r="A1838">
        <v>2024</v>
      </c>
      <c r="B1838" t="s">
        <v>410</v>
      </c>
      <c r="C1838" t="s">
        <v>368</v>
      </c>
      <c r="D1838">
        <v>601</v>
      </c>
    </row>
    <row r="1839" spans="1:4" hidden="1" x14ac:dyDescent="0.2">
      <c r="A1839">
        <v>2024</v>
      </c>
      <c r="B1839" t="s">
        <v>410</v>
      </c>
      <c r="C1839" t="s">
        <v>369</v>
      </c>
      <c r="D1839">
        <v>63</v>
      </c>
    </row>
    <row r="1840" spans="1:4" hidden="1" x14ac:dyDescent="0.2">
      <c r="A1840">
        <v>2024</v>
      </c>
      <c r="B1840" t="s">
        <v>410</v>
      </c>
      <c r="C1840" t="s">
        <v>364</v>
      </c>
      <c r="D1840">
        <v>1322</v>
      </c>
    </row>
    <row r="1841" spans="1:4" hidden="1" x14ac:dyDescent="0.2">
      <c r="A1841">
        <v>2024</v>
      </c>
      <c r="B1841" t="s">
        <v>410</v>
      </c>
      <c r="C1841" t="s">
        <v>370</v>
      </c>
      <c r="D1841">
        <v>4</v>
      </c>
    </row>
    <row r="1842" spans="1:4" hidden="1" x14ac:dyDescent="0.2">
      <c r="A1842">
        <v>2024</v>
      </c>
      <c r="B1842" t="s">
        <v>410</v>
      </c>
      <c r="C1842" t="s">
        <v>371</v>
      </c>
      <c r="D1842">
        <v>1</v>
      </c>
    </row>
    <row r="1843" spans="1:4" hidden="1" x14ac:dyDescent="0.2">
      <c r="A1843">
        <v>2024</v>
      </c>
      <c r="B1843" t="s">
        <v>489</v>
      </c>
      <c r="C1843" t="s">
        <v>365</v>
      </c>
      <c r="D1843">
        <v>2</v>
      </c>
    </row>
    <row r="1844" spans="1:4" hidden="1" x14ac:dyDescent="0.2">
      <c r="A1844">
        <v>2024</v>
      </c>
      <c r="B1844" t="s">
        <v>411</v>
      </c>
      <c r="C1844" t="s">
        <v>365</v>
      </c>
      <c r="D1844">
        <v>1</v>
      </c>
    </row>
    <row r="1845" spans="1:4" hidden="1" x14ac:dyDescent="0.2">
      <c r="A1845">
        <v>2024</v>
      </c>
      <c r="B1845" t="s">
        <v>412</v>
      </c>
      <c r="C1845" t="s">
        <v>365</v>
      </c>
      <c r="D1845">
        <v>4555</v>
      </c>
    </row>
    <row r="1846" spans="1:4" hidden="1" x14ac:dyDescent="0.2">
      <c r="A1846">
        <v>2024</v>
      </c>
      <c r="B1846" t="s">
        <v>412</v>
      </c>
      <c r="C1846" t="s">
        <v>366</v>
      </c>
      <c r="D1846">
        <v>22</v>
      </c>
    </row>
    <row r="1847" spans="1:4" hidden="1" x14ac:dyDescent="0.2">
      <c r="A1847">
        <v>2024</v>
      </c>
      <c r="B1847" t="s">
        <v>412</v>
      </c>
      <c r="C1847" t="s">
        <v>367</v>
      </c>
      <c r="D1847">
        <v>17</v>
      </c>
    </row>
    <row r="1848" spans="1:4" hidden="1" x14ac:dyDescent="0.2">
      <c r="A1848">
        <v>2024</v>
      </c>
      <c r="B1848" t="s">
        <v>412</v>
      </c>
      <c r="C1848" t="s">
        <v>364</v>
      </c>
      <c r="D1848">
        <v>190</v>
      </c>
    </row>
    <row r="1849" spans="1:4" hidden="1" x14ac:dyDescent="0.2">
      <c r="A1849">
        <v>2024</v>
      </c>
      <c r="B1849" t="s">
        <v>413</v>
      </c>
      <c r="C1849" t="s">
        <v>365</v>
      </c>
      <c r="D1849">
        <v>5</v>
      </c>
    </row>
    <row r="1850" spans="1:4" hidden="1" x14ac:dyDescent="0.2">
      <c r="A1850">
        <v>2024</v>
      </c>
      <c r="B1850" t="s">
        <v>490</v>
      </c>
      <c r="C1850" t="s">
        <v>365</v>
      </c>
      <c r="D1850">
        <v>1</v>
      </c>
    </row>
    <row r="1851" spans="1:4" hidden="1" x14ac:dyDescent="0.2">
      <c r="A1851">
        <v>2024</v>
      </c>
      <c r="B1851" t="s">
        <v>414</v>
      </c>
      <c r="C1851" t="s">
        <v>365</v>
      </c>
      <c r="D1851">
        <v>17372</v>
      </c>
    </row>
    <row r="1852" spans="1:4" hidden="1" x14ac:dyDescent="0.2">
      <c r="A1852">
        <v>2024</v>
      </c>
      <c r="B1852" t="s">
        <v>414</v>
      </c>
      <c r="C1852" t="s">
        <v>368</v>
      </c>
      <c r="D1852">
        <v>4</v>
      </c>
    </row>
    <row r="1853" spans="1:4" hidden="1" x14ac:dyDescent="0.2">
      <c r="A1853">
        <v>2024</v>
      </c>
      <c r="B1853" t="s">
        <v>445</v>
      </c>
      <c r="C1853" t="s">
        <v>365</v>
      </c>
      <c r="D1853">
        <v>50</v>
      </c>
    </row>
    <row r="1854" spans="1:4" hidden="1" x14ac:dyDescent="0.2">
      <c r="A1854">
        <v>2024</v>
      </c>
      <c r="B1854" t="s">
        <v>415</v>
      </c>
      <c r="C1854" t="s">
        <v>365</v>
      </c>
      <c r="D1854">
        <v>25</v>
      </c>
    </row>
    <row r="1855" spans="1:4" hidden="1" x14ac:dyDescent="0.2">
      <c r="A1855">
        <v>2024</v>
      </c>
      <c r="B1855" t="s">
        <v>416</v>
      </c>
      <c r="C1855" t="s">
        <v>365</v>
      </c>
      <c r="D1855">
        <v>95</v>
      </c>
    </row>
    <row r="1856" spans="1:4" hidden="1" x14ac:dyDescent="0.2">
      <c r="A1856">
        <v>2024</v>
      </c>
      <c r="B1856" t="s">
        <v>511</v>
      </c>
      <c r="C1856" t="s">
        <v>364</v>
      </c>
      <c r="D1856">
        <v>2</v>
      </c>
    </row>
    <row r="1857" spans="1:4" hidden="1" x14ac:dyDescent="0.2">
      <c r="A1857">
        <v>2024</v>
      </c>
      <c r="B1857" t="s">
        <v>417</v>
      </c>
      <c r="C1857" t="s">
        <v>365</v>
      </c>
      <c r="D1857">
        <v>25609</v>
      </c>
    </row>
    <row r="1858" spans="1:4" hidden="1" x14ac:dyDescent="0.2">
      <c r="A1858">
        <v>2024</v>
      </c>
      <c r="B1858" t="s">
        <v>417</v>
      </c>
      <c r="C1858" t="s">
        <v>366</v>
      </c>
      <c r="D1858">
        <v>29</v>
      </c>
    </row>
    <row r="1859" spans="1:4" hidden="1" x14ac:dyDescent="0.2">
      <c r="A1859">
        <v>2024</v>
      </c>
      <c r="B1859" t="s">
        <v>417</v>
      </c>
      <c r="C1859" t="s">
        <v>367</v>
      </c>
      <c r="D1859">
        <v>6337</v>
      </c>
    </row>
    <row r="1860" spans="1:4" hidden="1" x14ac:dyDescent="0.2">
      <c r="A1860">
        <v>2024</v>
      </c>
      <c r="B1860" t="s">
        <v>417</v>
      </c>
      <c r="C1860" t="s">
        <v>364</v>
      </c>
      <c r="D1860">
        <v>67</v>
      </c>
    </row>
    <row r="1861" spans="1:4" hidden="1" x14ac:dyDescent="0.2">
      <c r="A1861">
        <v>2024</v>
      </c>
      <c r="B1861" t="s">
        <v>491</v>
      </c>
      <c r="C1861" t="s">
        <v>365</v>
      </c>
      <c r="D1861">
        <v>1</v>
      </c>
    </row>
    <row r="1862" spans="1:4" hidden="1" x14ac:dyDescent="0.2">
      <c r="A1862">
        <v>2024</v>
      </c>
      <c r="B1862" t="s">
        <v>418</v>
      </c>
      <c r="C1862" t="s">
        <v>365</v>
      </c>
      <c r="D1862">
        <v>2385</v>
      </c>
    </row>
    <row r="1863" spans="1:4" hidden="1" x14ac:dyDescent="0.2">
      <c r="A1863">
        <v>2024</v>
      </c>
      <c r="B1863" t="s">
        <v>418</v>
      </c>
      <c r="C1863" t="s">
        <v>366</v>
      </c>
      <c r="D1863">
        <v>472</v>
      </c>
    </row>
    <row r="1864" spans="1:4" hidden="1" x14ac:dyDescent="0.2">
      <c r="A1864">
        <v>2024</v>
      </c>
      <c r="B1864" t="s">
        <v>418</v>
      </c>
      <c r="C1864" t="s">
        <v>364</v>
      </c>
      <c r="D1864">
        <v>216</v>
      </c>
    </row>
    <row r="1865" spans="1:4" hidden="1" x14ac:dyDescent="0.2">
      <c r="A1865">
        <v>2024</v>
      </c>
      <c r="B1865" t="s">
        <v>492</v>
      </c>
      <c r="C1865" t="s">
        <v>365</v>
      </c>
      <c r="D1865">
        <v>4</v>
      </c>
    </row>
    <row r="1866" spans="1:4" hidden="1" x14ac:dyDescent="0.2">
      <c r="A1866">
        <v>2024</v>
      </c>
      <c r="B1866" t="s">
        <v>420</v>
      </c>
      <c r="C1866" t="s">
        <v>365</v>
      </c>
      <c r="D1866">
        <v>9</v>
      </c>
    </row>
    <row r="1867" spans="1:4" hidden="1" x14ac:dyDescent="0.2">
      <c r="A1867">
        <v>2024</v>
      </c>
      <c r="B1867" t="s">
        <v>421</v>
      </c>
      <c r="C1867" t="s">
        <v>365</v>
      </c>
      <c r="D1867">
        <v>513</v>
      </c>
    </row>
    <row r="1868" spans="1:4" hidden="1" x14ac:dyDescent="0.2">
      <c r="A1868">
        <v>2024</v>
      </c>
      <c r="B1868" t="s">
        <v>422</v>
      </c>
      <c r="C1868" t="s">
        <v>365</v>
      </c>
      <c r="D1868">
        <v>3269</v>
      </c>
    </row>
    <row r="1869" spans="1:4" hidden="1" x14ac:dyDescent="0.2">
      <c r="A1869">
        <v>2024</v>
      </c>
      <c r="B1869" t="s">
        <v>422</v>
      </c>
      <c r="C1869" t="s">
        <v>366</v>
      </c>
      <c r="D1869">
        <v>464</v>
      </c>
    </row>
    <row r="1870" spans="1:4" hidden="1" x14ac:dyDescent="0.2">
      <c r="A1870">
        <v>2024</v>
      </c>
      <c r="B1870" t="s">
        <v>422</v>
      </c>
      <c r="C1870" t="s">
        <v>364</v>
      </c>
      <c r="D1870">
        <v>213</v>
      </c>
    </row>
    <row r="1871" spans="1:4" hidden="1" x14ac:dyDescent="0.2">
      <c r="A1871">
        <v>2024</v>
      </c>
      <c r="B1871" t="s">
        <v>466</v>
      </c>
      <c r="C1871" t="s">
        <v>364</v>
      </c>
      <c r="D1871">
        <v>408</v>
      </c>
    </row>
    <row r="1872" spans="1:4" hidden="1" x14ac:dyDescent="0.2">
      <c r="A1872">
        <v>2024</v>
      </c>
      <c r="B1872" t="s">
        <v>493</v>
      </c>
      <c r="C1872" t="s">
        <v>365</v>
      </c>
      <c r="D1872">
        <v>2</v>
      </c>
    </row>
    <row r="1873" spans="1:4" hidden="1" x14ac:dyDescent="0.2">
      <c r="A1873">
        <v>2024</v>
      </c>
      <c r="B1873" t="s">
        <v>423</v>
      </c>
      <c r="C1873" t="s">
        <v>365</v>
      </c>
      <c r="D1873">
        <v>8278</v>
      </c>
    </row>
    <row r="1874" spans="1:4" hidden="1" x14ac:dyDescent="0.2">
      <c r="A1874">
        <v>2024</v>
      </c>
      <c r="B1874" t="s">
        <v>423</v>
      </c>
      <c r="C1874" t="s">
        <v>366</v>
      </c>
      <c r="D1874">
        <v>161</v>
      </c>
    </row>
    <row r="1875" spans="1:4" hidden="1" x14ac:dyDescent="0.2">
      <c r="A1875">
        <v>2024</v>
      </c>
      <c r="B1875" t="s">
        <v>423</v>
      </c>
      <c r="C1875" t="s">
        <v>367</v>
      </c>
      <c r="D1875">
        <v>132</v>
      </c>
    </row>
    <row r="1876" spans="1:4" hidden="1" x14ac:dyDescent="0.2">
      <c r="A1876">
        <v>2024</v>
      </c>
      <c r="B1876" t="s">
        <v>423</v>
      </c>
      <c r="C1876" t="s">
        <v>368</v>
      </c>
      <c r="D1876">
        <v>69</v>
      </c>
    </row>
    <row r="1877" spans="1:4" hidden="1" x14ac:dyDescent="0.2">
      <c r="A1877">
        <v>2024</v>
      </c>
      <c r="B1877" t="s">
        <v>423</v>
      </c>
      <c r="C1877" t="s">
        <v>364</v>
      </c>
      <c r="D1877">
        <v>672</v>
      </c>
    </row>
    <row r="1878" spans="1:4" hidden="1" x14ac:dyDescent="0.2">
      <c r="A1878">
        <v>2024</v>
      </c>
      <c r="B1878" t="s">
        <v>424</v>
      </c>
      <c r="C1878" t="s">
        <v>365</v>
      </c>
      <c r="D1878">
        <v>311</v>
      </c>
    </row>
    <row r="1879" spans="1:4" hidden="1" x14ac:dyDescent="0.2">
      <c r="A1879">
        <v>2024</v>
      </c>
      <c r="B1879" t="s">
        <v>494</v>
      </c>
      <c r="C1879" t="s">
        <v>365</v>
      </c>
      <c r="D1879">
        <v>1</v>
      </c>
    </row>
    <row r="1880" spans="1:4" hidden="1" x14ac:dyDescent="0.2">
      <c r="A1880">
        <v>2024</v>
      </c>
      <c r="B1880" t="s">
        <v>495</v>
      </c>
      <c r="C1880" t="s">
        <v>365</v>
      </c>
      <c r="D1880">
        <v>2</v>
      </c>
    </row>
    <row r="1881" spans="1:4" hidden="1" x14ac:dyDescent="0.2">
      <c r="A1881">
        <v>2024</v>
      </c>
      <c r="B1881" t="s">
        <v>495</v>
      </c>
      <c r="C1881" t="s">
        <v>366</v>
      </c>
      <c r="D1881">
        <v>1</v>
      </c>
    </row>
    <row r="1882" spans="1:4" hidden="1" x14ac:dyDescent="0.2">
      <c r="A1882">
        <v>2024</v>
      </c>
      <c r="B1882" t="s">
        <v>495</v>
      </c>
      <c r="C1882" t="s">
        <v>368</v>
      </c>
      <c r="D1882">
        <v>1</v>
      </c>
    </row>
    <row r="1883" spans="1:4" hidden="1" x14ac:dyDescent="0.2">
      <c r="A1883">
        <v>2024</v>
      </c>
      <c r="B1883" t="s">
        <v>425</v>
      </c>
      <c r="C1883" t="s">
        <v>365</v>
      </c>
      <c r="D1883">
        <v>509</v>
      </c>
    </row>
    <row r="1884" spans="1:4" hidden="1" x14ac:dyDescent="0.2">
      <c r="A1884">
        <v>2024</v>
      </c>
      <c r="B1884" t="s">
        <v>425</v>
      </c>
      <c r="C1884" t="s">
        <v>366</v>
      </c>
      <c r="D1884">
        <v>2952</v>
      </c>
    </row>
    <row r="1885" spans="1:4" hidden="1" x14ac:dyDescent="0.2">
      <c r="A1885">
        <v>2024</v>
      </c>
      <c r="B1885" t="s">
        <v>425</v>
      </c>
      <c r="C1885" t="s">
        <v>367</v>
      </c>
      <c r="D1885">
        <v>3</v>
      </c>
    </row>
    <row r="1886" spans="1:4" hidden="1" x14ac:dyDescent="0.2">
      <c r="A1886">
        <v>2024</v>
      </c>
      <c r="B1886" t="s">
        <v>425</v>
      </c>
      <c r="C1886" t="s">
        <v>364</v>
      </c>
      <c r="D1886">
        <v>13</v>
      </c>
    </row>
    <row r="1887" spans="1:4" hidden="1" x14ac:dyDescent="0.2">
      <c r="A1887">
        <v>2024</v>
      </c>
      <c r="B1887" t="s">
        <v>496</v>
      </c>
      <c r="C1887" t="s">
        <v>365</v>
      </c>
      <c r="D1887">
        <v>4</v>
      </c>
    </row>
    <row r="1888" spans="1:4" hidden="1" x14ac:dyDescent="0.2">
      <c r="A1888">
        <v>2024</v>
      </c>
      <c r="B1888" t="s">
        <v>426</v>
      </c>
      <c r="C1888" t="s">
        <v>365</v>
      </c>
      <c r="D1888">
        <v>756</v>
      </c>
    </row>
    <row r="1889" spans="1:4" hidden="1" x14ac:dyDescent="0.2">
      <c r="A1889">
        <v>2024</v>
      </c>
      <c r="B1889" t="s">
        <v>426</v>
      </c>
      <c r="C1889" t="s">
        <v>364</v>
      </c>
      <c r="D1889">
        <v>13</v>
      </c>
    </row>
    <row r="1890" spans="1:4" hidden="1" x14ac:dyDescent="0.2">
      <c r="A1890">
        <v>2024</v>
      </c>
      <c r="B1890" t="s">
        <v>427</v>
      </c>
      <c r="C1890" t="s">
        <v>365</v>
      </c>
      <c r="D1890">
        <v>12</v>
      </c>
    </row>
    <row r="1891" spans="1:4" hidden="1" x14ac:dyDescent="0.2">
      <c r="A1891">
        <v>2024</v>
      </c>
      <c r="B1891" t="s">
        <v>465</v>
      </c>
      <c r="C1891" t="s">
        <v>365</v>
      </c>
      <c r="D1891">
        <v>5</v>
      </c>
    </row>
    <row r="1892" spans="1:4" hidden="1" x14ac:dyDescent="0.2">
      <c r="A1892">
        <v>2024</v>
      </c>
      <c r="B1892" t="s">
        <v>497</v>
      </c>
      <c r="C1892" t="s">
        <v>365</v>
      </c>
      <c r="D1892">
        <v>1</v>
      </c>
    </row>
    <row r="1893" spans="1:4" hidden="1" x14ac:dyDescent="0.2">
      <c r="A1893">
        <v>2024</v>
      </c>
      <c r="B1893" t="s">
        <v>428</v>
      </c>
      <c r="C1893" t="s">
        <v>365</v>
      </c>
      <c r="D1893">
        <v>64</v>
      </c>
    </row>
    <row r="1894" spans="1:4" hidden="1" x14ac:dyDescent="0.2">
      <c r="A1894">
        <v>2024</v>
      </c>
      <c r="B1894" t="s">
        <v>429</v>
      </c>
      <c r="C1894" t="s">
        <v>365</v>
      </c>
      <c r="D1894">
        <v>1243</v>
      </c>
    </row>
    <row r="1895" spans="1:4" hidden="1" x14ac:dyDescent="0.2">
      <c r="A1895">
        <v>2024</v>
      </c>
      <c r="B1895" t="s">
        <v>429</v>
      </c>
      <c r="C1895" t="s">
        <v>366</v>
      </c>
      <c r="D1895">
        <v>52</v>
      </c>
    </row>
    <row r="1896" spans="1:4" hidden="1" x14ac:dyDescent="0.2">
      <c r="A1896">
        <v>2024</v>
      </c>
      <c r="B1896" t="s">
        <v>429</v>
      </c>
      <c r="C1896" t="s">
        <v>367</v>
      </c>
      <c r="D1896">
        <v>39</v>
      </c>
    </row>
    <row r="1897" spans="1:4" hidden="1" x14ac:dyDescent="0.2">
      <c r="A1897">
        <v>2024</v>
      </c>
      <c r="B1897" t="s">
        <v>512</v>
      </c>
      <c r="C1897" t="s">
        <v>364</v>
      </c>
      <c r="D1897">
        <v>1</v>
      </c>
    </row>
    <row r="1898" spans="1:4" hidden="1" x14ac:dyDescent="0.2">
      <c r="A1898">
        <v>2024</v>
      </c>
      <c r="B1898" t="s">
        <v>457</v>
      </c>
      <c r="C1898" t="s">
        <v>365</v>
      </c>
      <c r="D1898">
        <v>5</v>
      </c>
    </row>
    <row r="1899" spans="1:4" hidden="1" x14ac:dyDescent="0.2">
      <c r="A1899">
        <v>2024</v>
      </c>
      <c r="B1899" t="s">
        <v>430</v>
      </c>
      <c r="C1899" t="s">
        <v>365</v>
      </c>
      <c r="D1899">
        <v>2748</v>
      </c>
    </row>
    <row r="1900" spans="1:4" hidden="1" x14ac:dyDescent="0.2">
      <c r="A1900">
        <v>2024</v>
      </c>
      <c r="B1900" t="s">
        <v>430</v>
      </c>
      <c r="C1900" t="s">
        <v>366</v>
      </c>
      <c r="D1900">
        <v>5</v>
      </c>
    </row>
    <row r="1901" spans="1:4" hidden="1" x14ac:dyDescent="0.2">
      <c r="A1901">
        <v>2024</v>
      </c>
      <c r="B1901" t="s">
        <v>430</v>
      </c>
      <c r="C1901" t="s">
        <v>367</v>
      </c>
      <c r="D1901">
        <v>490</v>
      </c>
    </row>
    <row r="1902" spans="1:4" hidden="1" x14ac:dyDescent="0.2">
      <c r="A1902">
        <v>2024</v>
      </c>
      <c r="B1902" t="s">
        <v>430</v>
      </c>
      <c r="C1902" t="s">
        <v>364</v>
      </c>
      <c r="D1902">
        <v>40</v>
      </c>
    </row>
    <row r="1903" spans="1:4" hidden="1" x14ac:dyDescent="0.2">
      <c r="A1903">
        <v>2024</v>
      </c>
      <c r="B1903" t="s">
        <v>462</v>
      </c>
      <c r="C1903" t="s">
        <v>365</v>
      </c>
      <c r="D1903">
        <v>7</v>
      </c>
    </row>
    <row r="1904" spans="1:4" hidden="1" x14ac:dyDescent="0.2">
      <c r="A1904">
        <v>2024</v>
      </c>
      <c r="B1904" t="s">
        <v>462</v>
      </c>
      <c r="C1904" t="s">
        <v>364</v>
      </c>
      <c r="D1904">
        <v>49</v>
      </c>
    </row>
    <row r="1905" spans="1:4" hidden="1" x14ac:dyDescent="0.2">
      <c r="A1905">
        <v>2024</v>
      </c>
      <c r="B1905" t="s">
        <v>431</v>
      </c>
      <c r="C1905" t="s">
        <v>365</v>
      </c>
      <c r="D1905">
        <v>585</v>
      </c>
    </row>
    <row r="1906" spans="1:4" hidden="1" x14ac:dyDescent="0.2">
      <c r="A1906">
        <v>2024</v>
      </c>
      <c r="B1906" t="s">
        <v>431</v>
      </c>
      <c r="C1906" t="s">
        <v>366</v>
      </c>
      <c r="D1906">
        <v>1005</v>
      </c>
    </row>
    <row r="1907" spans="1:4" hidden="1" x14ac:dyDescent="0.2">
      <c r="A1907">
        <v>2024</v>
      </c>
      <c r="B1907" t="s">
        <v>431</v>
      </c>
      <c r="C1907" t="s">
        <v>369</v>
      </c>
      <c r="D1907">
        <v>1</v>
      </c>
    </row>
    <row r="1908" spans="1:4" hidden="1" x14ac:dyDescent="0.2">
      <c r="A1908">
        <v>2024</v>
      </c>
      <c r="B1908" t="s">
        <v>498</v>
      </c>
      <c r="C1908" t="s">
        <v>365</v>
      </c>
      <c r="D1908">
        <v>2</v>
      </c>
    </row>
    <row r="1909" spans="1:4" hidden="1" x14ac:dyDescent="0.2">
      <c r="A1909">
        <v>2024</v>
      </c>
      <c r="B1909" t="s">
        <v>499</v>
      </c>
      <c r="C1909" t="s">
        <v>365</v>
      </c>
      <c r="D1909">
        <v>1</v>
      </c>
    </row>
    <row r="1910" spans="1:4" hidden="1" x14ac:dyDescent="0.2">
      <c r="A1910">
        <v>2024</v>
      </c>
      <c r="B1910" t="s">
        <v>432</v>
      </c>
      <c r="C1910" t="s">
        <v>365</v>
      </c>
      <c r="D1910">
        <v>13836</v>
      </c>
    </row>
    <row r="1911" spans="1:4" hidden="1" x14ac:dyDescent="0.2">
      <c r="A1911">
        <v>2024</v>
      </c>
      <c r="B1911" t="s">
        <v>432</v>
      </c>
      <c r="C1911" t="s">
        <v>367</v>
      </c>
      <c r="D1911">
        <v>621</v>
      </c>
    </row>
    <row r="1912" spans="1:4" hidden="1" x14ac:dyDescent="0.2">
      <c r="A1912">
        <v>2024</v>
      </c>
      <c r="B1912" t="s">
        <v>433</v>
      </c>
      <c r="C1912" t="s">
        <v>365</v>
      </c>
      <c r="D1912">
        <v>6</v>
      </c>
    </row>
    <row r="1913" spans="1:4" hidden="1" x14ac:dyDescent="0.2">
      <c r="A1913">
        <v>2024</v>
      </c>
      <c r="B1913" t="s">
        <v>434</v>
      </c>
      <c r="C1913" t="s">
        <v>365</v>
      </c>
      <c r="D1913">
        <v>3861</v>
      </c>
    </row>
    <row r="1914" spans="1:4" hidden="1" x14ac:dyDescent="0.2">
      <c r="A1914">
        <v>2024</v>
      </c>
      <c r="B1914" t="s">
        <v>434</v>
      </c>
      <c r="C1914" t="s">
        <v>367</v>
      </c>
      <c r="D1914">
        <v>962</v>
      </c>
    </row>
    <row r="1915" spans="1:4" hidden="1" x14ac:dyDescent="0.2">
      <c r="A1915">
        <v>2024</v>
      </c>
      <c r="B1915" t="s">
        <v>500</v>
      </c>
      <c r="C1915" t="s">
        <v>365</v>
      </c>
      <c r="D1915">
        <v>2</v>
      </c>
    </row>
    <row r="1916" spans="1:4" hidden="1" x14ac:dyDescent="0.2">
      <c r="A1916">
        <v>2024</v>
      </c>
      <c r="B1916" t="s">
        <v>501</v>
      </c>
      <c r="C1916" t="s">
        <v>365</v>
      </c>
      <c r="D1916">
        <v>1</v>
      </c>
    </row>
    <row r="1917" spans="1:4" hidden="1" x14ac:dyDescent="0.2">
      <c r="A1917">
        <v>2024</v>
      </c>
      <c r="B1917" t="s">
        <v>442</v>
      </c>
      <c r="C1917" t="s">
        <v>365</v>
      </c>
      <c r="D1917">
        <v>6</v>
      </c>
    </row>
    <row r="1918" spans="1:4" hidden="1" x14ac:dyDescent="0.2">
      <c r="A1918">
        <v>2024</v>
      </c>
      <c r="B1918" t="s">
        <v>463</v>
      </c>
      <c r="C1918" t="s">
        <v>364</v>
      </c>
      <c r="D1918">
        <v>5163</v>
      </c>
    </row>
    <row r="1919" spans="1:4" hidden="1" x14ac:dyDescent="0.2">
      <c r="A1919">
        <v>2024</v>
      </c>
      <c r="B1919" t="s">
        <v>502</v>
      </c>
      <c r="C1919" t="s">
        <v>366</v>
      </c>
    </row>
    <row r="1920" spans="1:4" hidden="1" x14ac:dyDescent="0.2">
      <c r="A1920">
        <v>2024</v>
      </c>
      <c r="B1920" t="s">
        <v>435</v>
      </c>
      <c r="C1920" t="s">
        <v>365</v>
      </c>
      <c r="D1920">
        <v>100281</v>
      </c>
    </row>
    <row r="1921" spans="1:4" hidden="1" x14ac:dyDescent="0.2">
      <c r="A1921">
        <v>2024</v>
      </c>
      <c r="B1921" t="s">
        <v>435</v>
      </c>
      <c r="C1921" t="s">
        <v>366</v>
      </c>
      <c r="D1921">
        <v>71</v>
      </c>
    </row>
    <row r="1922" spans="1:4" hidden="1" x14ac:dyDescent="0.2">
      <c r="A1922">
        <v>2024</v>
      </c>
      <c r="B1922" t="s">
        <v>435</v>
      </c>
      <c r="C1922" t="s">
        <v>367</v>
      </c>
      <c r="D1922">
        <v>40948</v>
      </c>
    </row>
    <row r="1923" spans="1:4" hidden="1" x14ac:dyDescent="0.2">
      <c r="A1923">
        <v>2024</v>
      </c>
      <c r="B1923" t="s">
        <v>435</v>
      </c>
      <c r="C1923" t="s">
        <v>368</v>
      </c>
      <c r="D1923">
        <v>45</v>
      </c>
    </row>
    <row r="1924" spans="1:4" hidden="1" x14ac:dyDescent="0.2">
      <c r="A1924">
        <v>2024</v>
      </c>
      <c r="B1924" t="s">
        <v>435</v>
      </c>
      <c r="C1924" t="s">
        <v>369</v>
      </c>
      <c r="D1924">
        <v>8</v>
      </c>
    </row>
    <row r="1925" spans="1:4" hidden="1" x14ac:dyDescent="0.2">
      <c r="A1925">
        <v>2024</v>
      </c>
      <c r="B1925" t="s">
        <v>435</v>
      </c>
      <c r="C1925" t="s">
        <v>364</v>
      </c>
      <c r="D1925">
        <v>94</v>
      </c>
    </row>
    <row r="1926" spans="1:4" hidden="1" x14ac:dyDescent="0.2">
      <c r="A1926">
        <v>2024</v>
      </c>
      <c r="B1926" t="s">
        <v>436</v>
      </c>
      <c r="C1926" t="s">
        <v>365</v>
      </c>
      <c r="D1926">
        <v>45</v>
      </c>
    </row>
    <row r="1927" spans="1:4" hidden="1" x14ac:dyDescent="0.2">
      <c r="A1927">
        <v>2024</v>
      </c>
      <c r="B1927" t="s">
        <v>503</v>
      </c>
      <c r="C1927" t="s">
        <v>365</v>
      </c>
      <c r="D1927">
        <v>1</v>
      </c>
    </row>
    <row r="1928" spans="1:4" hidden="1" x14ac:dyDescent="0.2">
      <c r="A1928">
        <v>2024</v>
      </c>
      <c r="B1928" t="s">
        <v>504</v>
      </c>
      <c r="C1928" t="s">
        <v>365</v>
      </c>
      <c r="D1928">
        <v>1</v>
      </c>
    </row>
    <row r="1929" spans="1:4" hidden="1" x14ac:dyDescent="0.2">
      <c r="A1929">
        <v>2024</v>
      </c>
      <c r="B1929" t="s">
        <v>505</v>
      </c>
      <c r="C1929" t="s">
        <v>365</v>
      </c>
      <c r="D1929">
        <v>1</v>
      </c>
    </row>
    <row r="1930" spans="1:4" hidden="1" x14ac:dyDescent="0.2">
      <c r="A1930">
        <v>2024</v>
      </c>
      <c r="B1930" t="s">
        <v>437</v>
      </c>
      <c r="C1930" t="s">
        <v>365</v>
      </c>
      <c r="D1930">
        <v>18664</v>
      </c>
    </row>
    <row r="1931" spans="1:4" hidden="1" x14ac:dyDescent="0.2">
      <c r="A1931">
        <v>2024</v>
      </c>
      <c r="B1931" t="s">
        <v>437</v>
      </c>
      <c r="C1931" t="s">
        <v>366</v>
      </c>
      <c r="D1931">
        <v>295</v>
      </c>
    </row>
    <row r="1932" spans="1:4" hidden="1" x14ac:dyDescent="0.2">
      <c r="A1932">
        <v>2024</v>
      </c>
      <c r="B1932" t="s">
        <v>437</v>
      </c>
      <c r="C1932" t="s">
        <v>367</v>
      </c>
      <c r="D1932">
        <v>797</v>
      </c>
    </row>
    <row r="1933" spans="1:4" hidden="1" x14ac:dyDescent="0.2">
      <c r="A1933">
        <v>2024</v>
      </c>
      <c r="B1933" t="s">
        <v>437</v>
      </c>
      <c r="C1933" t="s">
        <v>368</v>
      </c>
      <c r="D1933">
        <v>1</v>
      </c>
    </row>
    <row r="1934" spans="1:4" hidden="1" x14ac:dyDescent="0.2">
      <c r="A1934">
        <v>2024</v>
      </c>
      <c r="B1934" t="s">
        <v>437</v>
      </c>
      <c r="C1934" t="s">
        <v>364</v>
      </c>
      <c r="D1934">
        <v>200</v>
      </c>
    </row>
    <row r="1935" spans="1:4" hidden="1" x14ac:dyDescent="0.2">
      <c r="A1935">
        <v>2024</v>
      </c>
      <c r="B1935" t="s">
        <v>438</v>
      </c>
      <c r="C1935" t="s">
        <v>365</v>
      </c>
      <c r="D1935">
        <v>7366</v>
      </c>
    </row>
    <row r="1936" spans="1:4" hidden="1" x14ac:dyDescent="0.2">
      <c r="A1936">
        <v>2024</v>
      </c>
      <c r="B1936" t="s">
        <v>438</v>
      </c>
      <c r="C1936" t="s">
        <v>366</v>
      </c>
      <c r="D1936">
        <v>568</v>
      </c>
    </row>
    <row r="1937" spans="1:4" hidden="1" x14ac:dyDescent="0.2">
      <c r="A1937">
        <v>2024</v>
      </c>
      <c r="B1937" t="s">
        <v>438</v>
      </c>
      <c r="C1937" t="s">
        <v>367</v>
      </c>
      <c r="D1937">
        <v>720</v>
      </c>
    </row>
    <row r="1938" spans="1:4" hidden="1" x14ac:dyDescent="0.2">
      <c r="A1938">
        <v>2024</v>
      </c>
      <c r="B1938" t="s">
        <v>438</v>
      </c>
      <c r="C1938" t="s">
        <v>368</v>
      </c>
      <c r="D1938">
        <v>173</v>
      </c>
    </row>
    <row r="1939" spans="1:4" hidden="1" x14ac:dyDescent="0.2">
      <c r="A1939">
        <v>2024</v>
      </c>
      <c r="B1939" t="s">
        <v>438</v>
      </c>
      <c r="C1939" t="s">
        <v>364</v>
      </c>
      <c r="D1939">
        <v>541</v>
      </c>
    </row>
    <row r="1940" spans="1:4" hidden="1" x14ac:dyDescent="0.2">
      <c r="A1940">
        <v>2024</v>
      </c>
      <c r="B1940" t="s">
        <v>506</v>
      </c>
      <c r="C1940" t="s">
        <v>365</v>
      </c>
      <c r="D1940">
        <v>2</v>
      </c>
    </row>
    <row r="1941" spans="1:4" hidden="1" x14ac:dyDescent="0.2">
      <c r="A1941">
        <v>2024</v>
      </c>
      <c r="B1941" t="s">
        <v>449</v>
      </c>
      <c r="C1941" t="s">
        <v>365</v>
      </c>
    </row>
    <row r="1942" spans="1:4" hidden="1" x14ac:dyDescent="0.2">
      <c r="A1942">
        <v>2024</v>
      </c>
      <c r="B1942" t="s">
        <v>513</v>
      </c>
      <c r="C1942" t="s">
        <v>364</v>
      </c>
      <c r="D1942">
        <v>336</v>
      </c>
    </row>
    <row r="1943" spans="1:4" hidden="1" x14ac:dyDescent="0.2">
      <c r="A1943">
        <v>2024</v>
      </c>
      <c r="B1943" t="s">
        <v>514</v>
      </c>
      <c r="C1943" t="s">
        <v>364</v>
      </c>
      <c r="D1943">
        <v>99</v>
      </c>
    </row>
    <row r="1944" spans="1:4" hidden="1" x14ac:dyDescent="0.2">
      <c r="A1944">
        <v>2024</v>
      </c>
      <c r="B1944" t="s">
        <v>450</v>
      </c>
      <c r="C1944" t="s">
        <v>365</v>
      </c>
      <c r="D1944">
        <v>1</v>
      </c>
    </row>
  </sheetData>
  <autoFilter ref="A1:D1944" xr:uid="{CDC37CE6-ED3E-8543-ACB0-5B2F75044EC9}">
    <filterColumn colId="0">
      <filters>
        <filter val="202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9209-238C-C44A-95CB-0E185948DC8E}">
  <sheetPr>
    <tabColor theme="0" tint="-0.499984740745262"/>
    <pageSetUpPr fitToPage="1"/>
  </sheetPr>
  <dimension ref="A3:AK134"/>
  <sheetViews>
    <sheetView tabSelected="1" topLeftCell="B1" zoomScale="93" zoomScaleNormal="192" workbookViewId="0">
      <selection activeCell="J39" sqref="J39"/>
    </sheetView>
  </sheetViews>
  <sheetFormatPr baseColWidth="10" defaultColWidth="11.3984375" defaultRowHeight="14" x14ac:dyDescent="0.2"/>
  <cols>
    <col min="1" max="1" width="18.19921875" customWidth="1"/>
    <col min="2" max="2" width="14.3984375" bestFit="1" customWidth="1"/>
    <col min="3" max="3" width="20.19921875" bestFit="1" customWidth="1"/>
    <col min="4" max="4" width="22.59765625" bestFit="1" customWidth="1"/>
    <col min="5" max="5" width="6.3984375" bestFit="1" customWidth="1"/>
    <col min="6" max="6" width="14.19921875" bestFit="1" customWidth="1"/>
    <col min="7" max="7" width="6.3984375" bestFit="1" customWidth="1"/>
    <col min="8" max="8" width="14.19921875" bestFit="1" customWidth="1"/>
    <col min="9" max="9" width="14.59765625" bestFit="1" customWidth="1"/>
    <col min="10" max="10" width="18" customWidth="1"/>
    <col min="11" max="11" width="16.19921875" bestFit="1" customWidth="1"/>
    <col min="12" max="12" width="14.19921875" bestFit="1" customWidth="1"/>
    <col min="13" max="13" width="14.796875" bestFit="1" customWidth="1"/>
    <col min="14" max="14" width="8.3984375" bestFit="1" customWidth="1"/>
    <col min="15" max="17" width="14.796875" bestFit="1" customWidth="1"/>
    <col min="18" max="18" width="8.3984375" bestFit="1" customWidth="1"/>
    <col min="19" max="20" width="17.59765625" bestFit="1" customWidth="1"/>
    <col min="21" max="21" width="18.19921875" bestFit="1" customWidth="1"/>
    <col min="22" max="22" width="8.3984375" bestFit="1" customWidth="1"/>
    <col min="23" max="24" width="17.19921875" bestFit="1" customWidth="1"/>
    <col min="25" max="25" width="18.19921875" bestFit="1" customWidth="1"/>
    <col min="26" max="26" width="8.3984375" bestFit="1" customWidth="1"/>
    <col min="27" max="28" width="17.19921875" bestFit="1" customWidth="1"/>
    <col min="29" max="30" width="17.59765625" bestFit="1" customWidth="1"/>
    <col min="31" max="31" width="19" bestFit="1" customWidth="1"/>
    <col min="33" max="33" width="14.59765625" bestFit="1" customWidth="1"/>
    <col min="35" max="35" width="19.19921875" bestFit="1" customWidth="1"/>
    <col min="36" max="36" width="12.796875" bestFit="1" customWidth="1"/>
    <col min="37" max="37" width="7.796875" bestFit="1" customWidth="1"/>
    <col min="38" max="38" width="13.3984375" bestFit="1" customWidth="1"/>
    <col min="39" max="39" width="26.3984375" bestFit="1" customWidth="1"/>
    <col min="40" max="40" width="16.59765625" bestFit="1" customWidth="1"/>
    <col min="41" max="41" width="17.796875" bestFit="1" customWidth="1"/>
    <col min="42" max="42" width="27" bestFit="1" customWidth="1"/>
  </cols>
  <sheetData>
    <row r="3" spans="1:37" x14ac:dyDescent="0.2">
      <c r="A3" s="141" t="s">
        <v>763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</row>
    <row r="5" spans="1:37" x14ac:dyDescent="0.2">
      <c r="J5" s="146" t="s">
        <v>766</v>
      </c>
      <c r="K5" s="147"/>
      <c r="L5" s="148"/>
    </row>
    <row r="6" spans="1:37" ht="16" x14ac:dyDescent="0.2">
      <c r="A6" s="31" t="s">
        <v>754</v>
      </c>
      <c r="B6" s="31" t="s">
        <v>753</v>
      </c>
      <c r="C6" s="128" t="s">
        <v>755</v>
      </c>
      <c r="D6" s="33" t="s">
        <v>756</v>
      </c>
      <c r="E6" s="33" t="s">
        <v>533</v>
      </c>
      <c r="F6" s="33" t="s">
        <v>738</v>
      </c>
      <c r="G6" s="33" t="s">
        <v>739</v>
      </c>
      <c r="H6" s="33" t="s">
        <v>757</v>
      </c>
      <c r="I6" s="33" t="s">
        <v>740</v>
      </c>
      <c r="J6" s="149" t="s">
        <v>760</v>
      </c>
      <c r="K6" s="150" t="s">
        <v>737</v>
      </c>
      <c r="L6" s="151" t="s">
        <v>729</v>
      </c>
      <c r="M6" s="33" t="s">
        <v>741</v>
      </c>
      <c r="N6" s="33" t="s">
        <v>739</v>
      </c>
      <c r="O6" s="33" t="s">
        <v>758</v>
      </c>
      <c r="P6" s="33" t="s">
        <v>742</v>
      </c>
      <c r="Q6" s="33" t="s">
        <v>743</v>
      </c>
      <c r="R6" s="33" t="s">
        <v>739</v>
      </c>
      <c r="S6" s="33" t="s">
        <v>744</v>
      </c>
      <c r="T6" s="33" t="s">
        <v>745</v>
      </c>
      <c r="U6" s="33" t="s">
        <v>752</v>
      </c>
      <c r="V6" s="33" t="s">
        <v>739</v>
      </c>
      <c r="W6" s="33" t="s">
        <v>750</v>
      </c>
      <c r="X6" s="33" t="s">
        <v>751</v>
      </c>
      <c r="Y6" s="33" t="s">
        <v>749</v>
      </c>
      <c r="Z6" s="33" t="s">
        <v>739</v>
      </c>
      <c r="AA6" s="33" t="s">
        <v>747</v>
      </c>
      <c r="AB6" s="33" t="s">
        <v>748</v>
      </c>
      <c r="AC6" s="33" t="s">
        <v>761</v>
      </c>
      <c r="AD6" s="33" t="s">
        <v>759</v>
      </c>
      <c r="AE6" s="33" t="s">
        <v>224</v>
      </c>
      <c r="AF6" s="32"/>
      <c r="AG6" s="33" t="s">
        <v>764</v>
      </c>
      <c r="AI6" s="116"/>
      <c r="AJ6" s="116"/>
      <c r="AK6" s="116"/>
    </row>
    <row r="7" spans="1:37" ht="15" x14ac:dyDescent="0.2">
      <c r="A7" s="132" t="s">
        <v>195</v>
      </c>
      <c r="B7" s="134" t="s">
        <v>196</v>
      </c>
      <c r="C7" s="138">
        <v>0.75</v>
      </c>
      <c r="D7" s="139">
        <v>0</v>
      </c>
      <c r="E7" s="139">
        <v>0.36795183512793794</v>
      </c>
      <c r="F7" s="81">
        <f>D7*E7</f>
        <v>0</v>
      </c>
      <c r="G7" s="81">
        <v>0.06</v>
      </c>
      <c r="H7" s="81">
        <f t="shared" ref="H7:H31" si="0">F7*G7</f>
        <v>0</v>
      </c>
      <c r="I7" s="81">
        <f>H7*C7</f>
        <v>0</v>
      </c>
      <c r="J7" s="152">
        <f>240035.67*10^-3</f>
        <v>240.03567000000001</v>
      </c>
      <c r="K7" s="153"/>
      <c r="L7" s="154">
        <f>103030.39*10^-3</f>
        <v>103.03039</v>
      </c>
      <c r="M7" s="81">
        <f>(F7-H7)+(J7*E7)+(K7*E7)-(L7*E7)</f>
        <v>50.411344198216973</v>
      </c>
      <c r="N7" s="81">
        <v>6.59E-2</v>
      </c>
      <c r="O7" s="81">
        <f>M7*N7</f>
        <v>3.3221075826624986</v>
      </c>
      <c r="P7" s="81">
        <f>O7*C7</f>
        <v>2.491580686996874</v>
      </c>
      <c r="Q7" s="81">
        <f>M7-O7</f>
        <v>47.089236615554476</v>
      </c>
      <c r="R7" s="81">
        <v>7.0000000000000007E-2</v>
      </c>
      <c r="S7" s="81">
        <f>Q7*R7</f>
        <v>3.2962465630888138</v>
      </c>
      <c r="T7" s="81">
        <f>S7*C7</f>
        <v>2.4721849223166101</v>
      </c>
      <c r="U7" s="81">
        <f>Q7-S7</f>
        <v>43.792990052465662</v>
      </c>
      <c r="V7" s="81">
        <v>2.98E-2</v>
      </c>
      <c r="W7" s="81">
        <f>U7*V7</f>
        <v>1.3050311035634767</v>
      </c>
      <c r="X7" s="81">
        <f>W7*C7</f>
        <v>0.97877332767260761</v>
      </c>
      <c r="Y7" s="81">
        <f>U7-W7</f>
        <v>42.487958948902182</v>
      </c>
      <c r="Z7" s="138">
        <v>0.03</v>
      </c>
      <c r="AA7" s="81">
        <f t="shared" ref="AA7:AA31" si="1">Y7*Z7</f>
        <v>1.2746387684670655</v>
      </c>
      <c r="AB7" s="81">
        <f>AA7*C7</f>
        <v>0.95597907635029911</v>
      </c>
      <c r="AC7" s="81">
        <f>H7+O7+S7+W7+AA7</f>
        <v>9.1980240177818544</v>
      </c>
      <c r="AD7" s="81">
        <f>I7+P7+T7+X7+AB7</f>
        <v>6.8985180133363908</v>
      </c>
      <c r="AE7" s="81">
        <f>AD7*10^-6</f>
        <v>6.8985180133363908E-6</v>
      </c>
      <c r="AG7" s="107">
        <f>(J7-L7)*C7</f>
        <v>102.75396000000002</v>
      </c>
      <c r="AI7" s="65"/>
      <c r="AJ7" s="66"/>
      <c r="AK7" s="66"/>
    </row>
    <row r="8" spans="1:37" ht="15" x14ac:dyDescent="0.2">
      <c r="A8" s="132" t="s">
        <v>195</v>
      </c>
      <c r="B8" s="134" t="s">
        <v>197</v>
      </c>
      <c r="C8" s="138">
        <v>1.73</v>
      </c>
      <c r="D8" s="139">
        <v>0</v>
      </c>
      <c r="E8" s="139">
        <v>0.31068538996325501</v>
      </c>
      <c r="F8" s="81">
        <f t="shared" ref="F8:F31" si="2">D8*E8</f>
        <v>0</v>
      </c>
      <c r="G8" s="81">
        <v>0.06</v>
      </c>
      <c r="H8" s="81">
        <f t="shared" si="0"/>
        <v>0</v>
      </c>
      <c r="I8" s="81">
        <f t="shared" ref="I8:I31" si="3">H8*C8</f>
        <v>0</v>
      </c>
      <c r="J8" s="152">
        <f>(1885.31926142038+7552767.84207511+203216.71+13216042.41+1885.32)*10^-3</f>
        <v>20975.797601336533</v>
      </c>
      <c r="K8" s="153"/>
      <c r="L8" s="154">
        <f>0.001*(294433.82+738699.15+5340)</f>
        <v>1038.47297</v>
      </c>
      <c r="M8" s="81">
        <f t="shared" ref="M8:M31" si="4">(F8-H8)+(J8*E8)+(K8*E8)-(L8*E8)</f>
        <v>6194.2354779108</v>
      </c>
      <c r="N8" s="81">
        <v>6.59E-2</v>
      </c>
      <c r="O8" s="81">
        <f>M8*N8</f>
        <v>408.20011799432172</v>
      </c>
      <c r="P8" s="81">
        <f t="shared" ref="P8:P31" si="5">O8*C8</f>
        <v>706.18620413017652</v>
      </c>
      <c r="Q8" s="81">
        <f t="shared" ref="Q8:Q31" si="6">M8-O8</f>
        <v>5786.0353599164782</v>
      </c>
      <c r="R8" s="81">
        <v>7.0000000000000007E-2</v>
      </c>
      <c r="S8" s="81">
        <f t="shared" ref="S8:S31" si="7">Q8*R8</f>
        <v>405.02247519415351</v>
      </c>
      <c r="T8" s="81">
        <f t="shared" ref="T8:T31" si="8">S8*C8</f>
        <v>700.68888208588555</v>
      </c>
      <c r="U8" s="81">
        <f t="shared" ref="U8:U31" si="9">Q8-S8</f>
        <v>5381.012884722325</v>
      </c>
      <c r="V8" s="81">
        <v>2.98E-2</v>
      </c>
      <c r="W8" s="81">
        <f>U8*V8</f>
        <v>160.35418396472528</v>
      </c>
      <c r="X8" s="81">
        <f t="shared" ref="X8:X31" si="10">W8*C8</f>
        <v>277.41273825897474</v>
      </c>
      <c r="Y8" s="81">
        <f t="shared" ref="Y8:Y31" si="11">U8-W8</f>
        <v>5220.6587007575999</v>
      </c>
      <c r="Z8" s="138">
        <v>0.03</v>
      </c>
      <c r="AA8" s="81">
        <f t="shared" si="1"/>
        <v>156.619761022728</v>
      </c>
      <c r="AB8" s="81">
        <f t="shared" ref="AB8:AB31" si="12">AA8*C8</f>
        <v>270.95218656931945</v>
      </c>
      <c r="AC8" s="81">
        <f t="shared" ref="AC8:AC31" si="13">H8+O8+S8+W8+AA8</f>
        <v>1130.1965381759285</v>
      </c>
      <c r="AD8" s="81">
        <f t="shared" ref="AD8:AD31" si="14">I8+P8+T8+X8+AB8</f>
        <v>1955.2400110443564</v>
      </c>
      <c r="AE8" s="81">
        <f t="shared" ref="AE8:AE32" si="15">AD8*10^-6</f>
        <v>1.9552400110443564E-3</v>
      </c>
      <c r="AG8" s="107">
        <f t="shared" ref="AG8:AG31" si="16">(J8-L8)*C8</f>
        <v>34491.571612212203</v>
      </c>
      <c r="AI8" s="65"/>
      <c r="AJ8" s="66"/>
      <c r="AK8" s="66"/>
    </row>
    <row r="9" spans="1:37" ht="15" x14ac:dyDescent="0.2">
      <c r="A9" s="132" t="s">
        <v>195</v>
      </c>
      <c r="B9" s="134" t="s">
        <v>198</v>
      </c>
      <c r="C9" s="138">
        <v>0.93</v>
      </c>
      <c r="D9" s="139">
        <v>0</v>
      </c>
      <c r="E9" s="139">
        <v>0.93365991364995016</v>
      </c>
      <c r="F9" s="81">
        <f t="shared" si="2"/>
        <v>0</v>
      </c>
      <c r="G9" s="81">
        <v>0.06</v>
      </c>
      <c r="H9" s="81">
        <f t="shared" si="0"/>
        <v>0</v>
      </c>
      <c r="I9" s="81">
        <f t="shared" si="3"/>
        <v>0</v>
      </c>
      <c r="J9" s="152">
        <f>249156.883219859*10^-3</f>
        <v>249.15688321985903</v>
      </c>
      <c r="K9" s="153"/>
      <c r="L9" s="154">
        <f>0.001*14460</f>
        <v>14.46</v>
      </c>
      <c r="M9" s="81">
        <f t="shared" si="4"/>
        <v>219.12707172096603</v>
      </c>
      <c r="N9" s="81">
        <v>6.59E-2</v>
      </c>
      <c r="O9" s="81">
        <f t="shared" ref="O9:O31" si="17">M9*N9</f>
        <v>14.440474026411662</v>
      </c>
      <c r="P9" s="81">
        <f t="shared" si="5"/>
        <v>13.429640844562847</v>
      </c>
      <c r="Q9" s="81">
        <f t="shared" si="6"/>
        <v>204.68659769455437</v>
      </c>
      <c r="R9" s="81">
        <v>7.0000000000000007E-2</v>
      </c>
      <c r="S9" s="81">
        <f t="shared" si="7"/>
        <v>14.328061838618806</v>
      </c>
      <c r="T9" s="81">
        <f>S9*C9</f>
        <v>13.325097509915491</v>
      </c>
      <c r="U9" s="81">
        <f t="shared" si="9"/>
        <v>190.35853585593557</v>
      </c>
      <c r="V9" s="81">
        <v>2.98E-2</v>
      </c>
      <c r="W9" s="81">
        <f t="shared" ref="W9:W31" si="18">U9*V9</f>
        <v>5.6726843685068804</v>
      </c>
      <c r="X9" s="81">
        <f t="shared" si="10"/>
        <v>5.2755964627113991</v>
      </c>
      <c r="Y9" s="81">
        <f t="shared" si="11"/>
        <v>184.68585148742869</v>
      </c>
      <c r="Z9" s="138">
        <v>0.03</v>
      </c>
      <c r="AA9" s="81">
        <f t="shared" si="1"/>
        <v>5.5405755446228602</v>
      </c>
      <c r="AB9" s="81">
        <f t="shared" si="12"/>
        <v>5.1527352564992599</v>
      </c>
      <c r="AC9" s="81">
        <f t="shared" si="13"/>
        <v>39.981795778160212</v>
      </c>
      <c r="AD9" s="81">
        <f t="shared" si="14"/>
        <v>37.183070073689002</v>
      </c>
      <c r="AE9" s="81">
        <f t="shared" si="15"/>
        <v>3.7183070073688998E-5</v>
      </c>
      <c r="AG9" s="107">
        <f t="shared" si="16"/>
        <v>218.26810139446889</v>
      </c>
      <c r="AI9" s="65"/>
      <c r="AJ9" s="66"/>
      <c r="AK9" s="66"/>
    </row>
    <row r="10" spans="1:37" ht="15" x14ac:dyDescent="0.2">
      <c r="A10" s="132" t="s">
        <v>195</v>
      </c>
      <c r="B10" s="134" t="s">
        <v>199</v>
      </c>
      <c r="C10" s="138">
        <v>0.93</v>
      </c>
      <c r="D10" s="139">
        <v>0</v>
      </c>
      <c r="E10" s="139">
        <v>0.83510638297872342</v>
      </c>
      <c r="F10" s="81">
        <f t="shared" si="2"/>
        <v>0</v>
      </c>
      <c r="G10" s="81">
        <v>0.06</v>
      </c>
      <c r="H10" s="81">
        <f t="shared" si="0"/>
        <v>0</v>
      </c>
      <c r="I10" s="81">
        <f t="shared" si="3"/>
        <v>0</v>
      </c>
      <c r="J10" s="152">
        <f>10^-3*(2097688.5+671067.17+174766.56)</f>
        <v>2943.52223</v>
      </c>
      <c r="K10" s="153"/>
      <c r="L10" s="154">
        <f>0.001*(80764.38+176109.23+8010)</f>
        <v>264.88360999999998</v>
      </c>
      <c r="M10" s="81">
        <f t="shared" si="4"/>
        <v>2236.9482092553194</v>
      </c>
      <c r="N10" s="81">
        <v>6.59E-2</v>
      </c>
      <c r="O10" s="81">
        <f t="shared" si="17"/>
        <v>147.41488698992555</v>
      </c>
      <c r="P10" s="81">
        <f t="shared" si="5"/>
        <v>137.09584490063077</v>
      </c>
      <c r="Q10" s="81">
        <f t="shared" si="6"/>
        <v>2089.533322265394</v>
      </c>
      <c r="R10" s="81">
        <v>7.0000000000000007E-2</v>
      </c>
      <c r="S10" s="81">
        <f t="shared" si="7"/>
        <v>146.26733255857758</v>
      </c>
      <c r="T10" s="81">
        <f t="shared" si="8"/>
        <v>136.02861927947717</v>
      </c>
      <c r="U10" s="81">
        <f t="shared" si="9"/>
        <v>1943.2659897068163</v>
      </c>
      <c r="V10" s="81">
        <v>2.98E-2</v>
      </c>
      <c r="W10" s="81">
        <f t="shared" si="18"/>
        <v>57.909326493263123</v>
      </c>
      <c r="X10" s="81">
        <f t="shared" si="10"/>
        <v>53.855673638734707</v>
      </c>
      <c r="Y10" s="81">
        <f t="shared" si="11"/>
        <v>1885.3566632135532</v>
      </c>
      <c r="Z10" s="138">
        <v>0.03</v>
      </c>
      <c r="AA10" s="81">
        <f t="shared" si="1"/>
        <v>56.560699896406597</v>
      </c>
      <c r="AB10" s="81">
        <f t="shared" si="12"/>
        <v>52.60145090365814</v>
      </c>
      <c r="AC10" s="81">
        <f t="shared" si="13"/>
        <v>408.15224593817283</v>
      </c>
      <c r="AD10" s="81">
        <f t="shared" si="14"/>
        <v>379.58158872250073</v>
      </c>
      <c r="AE10" s="81">
        <f t="shared" si="15"/>
        <v>3.7958158872250069E-4</v>
      </c>
      <c r="AG10" s="107">
        <f t="shared" si="16"/>
        <v>2491.1339166000002</v>
      </c>
      <c r="AI10" s="65"/>
      <c r="AJ10" s="66"/>
      <c r="AK10" s="66"/>
    </row>
    <row r="11" spans="1:37" ht="15" x14ac:dyDescent="0.2">
      <c r="A11" s="132" t="s">
        <v>195</v>
      </c>
      <c r="B11" s="134" t="s">
        <v>200</v>
      </c>
      <c r="C11" s="138">
        <v>1.91</v>
      </c>
      <c r="D11" s="139">
        <v>0</v>
      </c>
      <c r="E11" s="139">
        <v>0.64532019704433496</v>
      </c>
      <c r="F11" s="81">
        <f t="shared" si="2"/>
        <v>0</v>
      </c>
      <c r="G11" s="81">
        <v>0.06</v>
      </c>
      <c r="H11" s="81">
        <f t="shared" si="0"/>
        <v>0</v>
      </c>
      <c r="I11" s="81">
        <f t="shared" si="3"/>
        <v>0</v>
      </c>
      <c r="J11" s="152">
        <f>10^-3*(400+9610062.89+13859330+372947700)</f>
        <v>396417.49288999999</v>
      </c>
      <c r="K11" s="153"/>
      <c r="L11" s="154">
        <f>0.001*(1200+36211.89+100361020+9.42)</f>
        <v>100398.44131000001</v>
      </c>
      <c r="M11" s="81">
        <f t="shared" si="4"/>
        <v>191027.07269448275</v>
      </c>
      <c r="N11" s="81">
        <v>6.59E-2</v>
      </c>
      <c r="O11" s="81">
        <f t="shared" si="17"/>
        <v>12588.684090566414</v>
      </c>
      <c r="P11" s="81">
        <f t="shared" si="5"/>
        <v>24044.386612981849</v>
      </c>
      <c r="Q11" s="81">
        <f t="shared" si="6"/>
        <v>178438.38860391633</v>
      </c>
      <c r="R11" s="81">
        <v>7.0000000000000007E-2</v>
      </c>
      <c r="S11" s="81">
        <f t="shared" si="7"/>
        <v>12490.687202274145</v>
      </c>
      <c r="T11" s="81">
        <f t="shared" si="8"/>
        <v>23857.212556343617</v>
      </c>
      <c r="U11" s="81">
        <f t="shared" si="9"/>
        <v>165947.70140164217</v>
      </c>
      <c r="V11" s="81">
        <v>2.98E-2</v>
      </c>
      <c r="W11" s="81">
        <f t="shared" si="18"/>
        <v>4945.2415017689373</v>
      </c>
      <c r="X11" s="81">
        <f>W11*C11</f>
        <v>9445.4112683786698</v>
      </c>
      <c r="Y11" s="81">
        <f t="shared" si="11"/>
        <v>161002.45989987324</v>
      </c>
      <c r="Z11" s="138">
        <v>0.03</v>
      </c>
      <c r="AA11" s="81">
        <f t="shared" si="1"/>
        <v>4830.0737969961974</v>
      </c>
      <c r="AB11" s="81">
        <f t="shared" si="12"/>
        <v>9225.4409522627375</v>
      </c>
      <c r="AC11" s="81">
        <f t="shared" si="13"/>
        <v>34854.686591605692</v>
      </c>
      <c r="AD11" s="81">
        <f t="shared" si="14"/>
        <v>66572.451389966867</v>
      </c>
      <c r="AE11" s="81">
        <f t="shared" si="15"/>
        <v>6.6572451389966869E-2</v>
      </c>
      <c r="AG11" s="107">
        <f t="shared" si="16"/>
        <v>565396.3885177999</v>
      </c>
      <c r="AI11" s="65"/>
      <c r="AJ11" s="66"/>
      <c r="AK11" s="66"/>
    </row>
    <row r="12" spans="1:37" ht="15" x14ac:dyDescent="0.2">
      <c r="A12" s="132" t="s">
        <v>195</v>
      </c>
      <c r="B12" s="134" t="s">
        <v>201</v>
      </c>
      <c r="C12" s="138">
        <v>0.7</v>
      </c>
      <c r="D12" s="139">
        <v>0</v>
      </c>
      <c r="E12" s="139">
        <v>0.83836157630571984</v>
      </c>
      <c r="F12" s="81">
        <f t="shared" si="2"/>
        <v>0</v>
      </c>
      <c r="G12" s="81">
        <v>0.06</v>
      </c>
      <c r="H12" s="81">
        <f t="shared" si="0"/>
        <v>0</v>
      </c>
      <c r="I12" s="81">
        <f t="shared" si="3"/>
        <v>0</v>
      </c>
      <c r="J12" s="152">
        <v>1000</v>
      </c>
      <c r="K12" s="153"/>
      <c r="L12" s="154">
        <f>50*10^-3</f>
        <v>0.05</v>
      </c>
      <c r="M12" s="81">
        <f t="shared" si="4"/>
        <v>838.31965822690449</v>
      </c>
      <c r="N12" s="81">
        <v>6.59E-2</v>
      </c>
      <c r="O12" s="81">
        <f t="shared" si="17"/>
        <v>55.245265477153005</v>
      </c>
      <c r="P12" s="81">
        <f t="shared" si="5"/>
        <v>38.6716858340071</v>
      </c>
      <c r="Q12" s="81">
        <f t="shared" si="6"/>
        <v>783.0743927497515</v>
      </c>
      <c r="R12" s="81">
        <v>7.0000000000000007E-2</v>
      </c>
      <c r="S12" s="81">
        <f t="shared" si="7"/>
        <v>54.815207492482607</v>
      </c>
      <c r="T12" s="81">
        <f t="shared" si="8"/>
        <v>38.370645244737823</v>
      </c>
      <c r="U12" s="81">
        <f t="shared" si="9"/>
        <v>728.25918525726888</v>
      </c>
      <c r="V12" s="81">
        <v>2.98E-2</v>
      </c>
      <c r="W12" s="81">
        <f t="shared" si="18"/>
        <v>21.702123720666613</v>
      </c>
      <c r="X12" s="81">
        <f t="shared" si="10"/>
        <v>15.191486604466627</v>
      </c>
      <c r="Y12" s="81">
        <f t="shared" si="11"/>
        <v>706.5570615366023</v>
      </c>
      <c r="Z12" s="138">
        <v>0.03</v>
      </c>
      <c r="AA12" s="81">
        <f t="shared" si="1"/>
        <v>21.196711846098069</v>
      </c>
      <c r="AB12" s="81">
        <f t="shared" si="12"/>
        <v>14.837698292268646</v>
      </c>
      <c r="AC12" s="81">
        <f t="shared" si="13"/>
        <v>152.95930853640027</v>
      </c>
      <c r="AD12" s="81">
        <f t="shared" si="14"/>
        <v>107.0715159754802</v>
      </c>
      <c r="AE12" s="81">
        <f t="shared" si="15"/>
        <v>1.0707151597548019E-4</v>
      </c>
      <c r="AG12" s="107">
        <f t="shared" si="16"/>
        <v>699.96500000000003</v>
      </c>
      <c r="AI12" s="65"/>
      <c r="AJ12" s="66"/>
      <c r="AK12" s="66"/>
    </row>
    <row r="13" spans="1:37" ht="15" x14ac:dyDescent="0.2">
      <c r="A13" s="132" t="s">
        <v>195</v>
      </c>
      <c r="B13" s="134" t="s">
        <v>202</v>
      </c>
      <c r="C13" s="138">
        <v>0.93</v>
      </c>
      <c r="D13" s="139">
        <v>0</v>
      </c>
      <c r="E13" s="139">
        <v>0.125</v>
      </c>
      <c r="F13" s="81">
        <f t="shared" si="2"/>
        <v>0</v>
      </c>
      <c r="G13" s="81">
        <v>0.06</v>
      </c>
      <c r="H13" s="81">
        <f t="shared" si="0"/>
        <v>0</v>
      </c>
      <c r="I13" s="81">
        <f t="shared" si="3"/>
        <v>0</v>
      </c>
      <c r="J13" s="155">
        <f>5087.02*10^-3</f>
        <v>5.0870200000000008</v>
      </c>
      <c r="K13" s="153"/>
      <c r="L13" s="154">
        <f>0.001*3145.75</f>
        <v>3.14575</v>
      </c>
      <c r="M13" s="81">
        <f t="shared" si="4"/>
        <v>0.24265875000000009</v>
      </c>
      <c r="N13" s="81">
        <v>6.59E-2</v>
      </c>
      <c r="O13" s="81">
        <f t="shared" si="17"/>
        <v>1.5991211625000005E-2</v>
      </c>
      <c r="P13" s="81">
        <f t="shared" si="5"/>
        <v>1.4871826811250006E-2</v>
      </c>
      <c r="Q13" s="81">
        <f t="shared" si="6"/>
        <v>0.22666753837500009</v>
      </c>
      <c r="R13" s="81">
        <v>7.0000000000000007E-2</v>
      </c>
      <c r="S13" s="81">
        <f t="shared" si="7"/>
        <v>1.5866727686250009E-2</v>
      </c>
      <c r="T13" s="81">
        <f t="shared" si="8"/>
        <v>1.4756056748212509E-2</v>
      </c>
      <c r="U13" s="81">
        <f t="shared" si="9"/>
        <v>0.21080081068875009</v>
      </c>
      <c r="V13" s="81">
        <v>2.98E-2</v>
      </c>
      <c r="W13" s="81">
        <f t="shared" si="18"/>
        <v>6.2818641585247531E-3</v>
      </c>
      <c r="X13" s="81">
        <f t="shared" si="10"/>
        <v>5.8421336674280211E-3</v>
      </c>
      <c r="Y13" s="81">
        <f t="shared" si="11"/>
        <v>0.20451894653022534</v>
      </c>
      <c r="Z13" s="138">
        <v>0.03</v>
      </c>
      <c r="AA13" s="81">
        <f t="shared" si="1"/>
        <v>6.1355683959067597E-3</v>
      </c>
      <c r="AB13" s="81">
        <f t="shared" si="12"/>
        <v>5.7060786081932872E-3</v>
      </c>
      <c r="AC13" s="81">
        <f t="shared" si="13"/>
        <v>4.4275371865681527E-2</v>
      </c>
      <c r="AD13" s="81">
        <f t="shared" si="14"/>
        <v>4.1176095835083817E-2</v>
      </c>
      <c r="AE13" s="81">
        <f t="shared" si="15"/>
        <v>4.1176095835083818E-8</v>
      </c>
      <c r="AG13" s="107">
        <f t="shared" si="16"/>
        <v>1.8053811000000008</v>
      </c>
      <c r="AI13" s="65"/>
      <c r="AJ13" s="66"/>
      <c r="AK13" s="66"/>
    </row>
    <row r="14" spans="1:37" ht="15" x14ac:dyDescent="0.2">
      <c r="A14" s="132" t="s">
        <v>195</v>
      </c>
      <c r="B14" s="134" t="s">
        <v>203</v>
      </c>
      <c r="C14" s="138">
        <v>0.46</v>
      </c>
      <c r="D14" s="139">
        <v>0</v>
      </c>
      <c r="E14" s="139">
        <v>0.91825351029044044</v>
      </c>
      <c r="F14" s="81">
        <f t="shared" si="2"/>
        <v>0</v>
      </c>
      <c r="G14" s="81">
        <v>0.06</v>
      </c>
      <c r="H14" s="81">
        <f t="shared" si="0"/>
        <v>0</v>
      </c>
      <c r="I14" s="81">
        <f t="shared" si="3"/>
        <v>0</v>
      </c>
      <c r="J14" s="152">
        <f>10^-3*(244381139.68+372272.27+760504.74)</f>
        <v>245513.91669000004</v>
      </c>
      <c r="K14" s="153"/>
      <c r="L14" s="154">
        <f>0.001*(691.74+3320+6100)</f>
        <v>10.111739999999999</v>
      </c>
      <c r="M14" s="81">
        <f t="shared" si="4"/>
        <v>225434.73068499714</v>
      </c>
      <c r="N14" s="81">
        <v>6.59E-2</v>
      </c>
      <c r="O14" s="81">
        <f t="shared" si="17"/>
        <v>14856.148752141311</v>
      </c>
      <c r="P14" s="81">
        <f t="shared" si="5"/>
        <v>6833.8284259850034</v>
      </c>
      <c r="Q14" s="81">
        <f t="shared" si="6"/>
        <v>210578.58193285583</v>
      </c>
      <c r="R14" s="81">
        <v>7.0000000000000007E-2</v>
      </c>
      <c r="S14" s="81">
        <f t="shared" si="7"/>
        <v>14740.500735299909</v>
      </c>
      <c r="T14" s="81">
        <f t="shared" si="8"/>
        <v>6780.6303382379583</v>
      </c>
      <c r="U14" s="81">
        <f t="shared" si="9"/>
        <v>195838.08119755593</v>
      </c>
      <c r="V14" s="81">
        <v>2.98E-2</v>
      </c>
      <c r="W14" s="81">
        <f t="shared" si="18"/>
        <v>5835.9748196871669</v>
      </c>
      <c r="X14" s="81">
        <f t="shared" si="10"/>
        <v>2684.5484170560967</v>
      </c>
      <c r="Y14" s="81">
        <f t="shared" si="11"/>
        <v>190002.10637786877</v>
      </c>
      <c r="Z14" s="138">
        <v>0.03</v>
      </c>
      <c r="AA14" s="81">
        <f t="shared" si="1"/>
        <v>5700.063191336063</v>
      </c>
      <c r="AB14" s="81">
        <f t="shared" si="12"/>
        <v>2622.029068014589</v>
      </c>
      <c r="AC14" s="81">
        <f t="shared" si="13"/>
        <v>41132.687498464453</v>
      </c>
      <c r="AD14" s="81">
        <f t="shared" si="14"/>
        <v>18921.036249293647</v>
      </c>
      <c r="AE14" s="81">
        <f t="shared" si="15"/>
        <v>1.8921036249293647E-2</v>
      </c>
      <c r="AG14" s="107">
        <f t="shared" si="16"/>
        <v>112931.75027700003</v>
      </c>
      <c r="AI14" s="65"/>
      <c r="AJ14" s="66"/>
      <c r="AK14" s="66"/>
    </row>
    <row r="15" spans="1:37" x14ac:dyDescent="0.2">
      <c r="A15" s="132" t="s">
        <v>195</v>
      </c>
      <c r="B15" s="132" t="s">
        <v>204</v>
      </c>
      <c r="C15" s="138">
        <v>0.93</v>
      </c>
      <c r="D15" s="139">
        <v>0</v>
      </c>
      <c r="E15" s="139">
        <v>0.89187383204031934</v>
      </c>
      <c r="F15" s="81">
        <f t="shared" si="2"/>
        <v>0</v>
      </c>
      <c r="G15" s="81">
        <v>0.06</v>
      </c>
      <c r="H15" s="81">
        <f t="shared" si="0"/>
        <v>0</v>
      </c>
      <c r="I15" s="81">
        <f t="shared" si="3"/>
        <v>0</v>
      </c>
      <c r="J15" s="152">
        <f>10^-3*(126298.3+240035.67+1362679.92+2598555.42+65650.42)</f>
        <v>4393.2197299999998</v>
      </c>
      <c r="K15" s="153"/>
      <c r="L15" s="154">
        <f>0.001*(99296.66+1380.97+40572.8+117920)</f>
        <v>259.17043000000001</v>
      </c>
      <c r="M15" s="81">
        <f t="shared" si="4"/>
        <v>3687.0503910345997</v>
      </c>
      <c r="N15" s="81">
        <v>6.59E-2</v>
      </c>
      <c r="O15" s="81">
        <f t="shared" si="17"/>
        <v>242.97662076918013</v>
      </c>
      <c r="P15" s="81">
        <f t="shared" si="5"/>
        <v>225.96825731533752</v>
      </c>
      <c r="Q15" s="81">
        <f t="shared" si="6"/>
        <v>3444.0737702654196</v>
      </c>
      <c r="R15" s="81">
        <v>7.0000000000000007E-2</v>
      </c>
      <c r="S15" s="81">
        <f t="shared" si="7"/>
        <v>241.08516391857938</v>
      </c>
      <c r="T15" s="81">
        <f t="shared" si="8"/>
        <v>224.20920244427884</v>
      </c>
      <c r="U15" s="81">
        <f t="shared" si="9"/>
        <v>3202.9886063468402</v>
      </c>
      <c r="V15" s="81">
        <v>2.98E-2</v>
      </c>
      <c r="W15" s="81">
        <f t="shared" si="18"/>
        <v>95.449060469135844</v>
      </c>
      <c r="X15" s="81">
        <f t="shared" si="10"/>
        <v>88.767626236296337</v>
      </c>
      <c r="Y15" s="81">
        <f t="shared" si="11"/>
        <v>3107.5395458777043</v>
      </c>
      <c r="Z15" s="138">
        <v>0.03</v>
      </c>
      <c r="AA15" s="81">
        <f t="shared" si="1"/>
        <v>93.226186376331128</v>
      </c>
      <c r="AB15" s="81">
        <f t="shared" si="12"/>
        <v>86.700353329987948</v>
      </c>
      <c r="AC15" s="81">
        <f t="shared" si="13"/>
        <v>672.73703153322651</v>
      </c>
      <c r="AD15" s="81">
        <f t="shared" si="14"/>
        <v>625.64543932590061</v>
      </c>
      <c r="AE15" s="81">
        <f t="shared" si="15"/>
        <v>6.2564543932590061E-4</v>
      </c>
      <c r="AG15" s="107">
        <f t="shared" si="16"/>
        <v>3844.665849</v>
      </c>
      <c r="AI15" s="65"/>
      <c r="AJ15" s="65"/>
      <c r="AK15" s="66"/>
    </row>
    <row r="16" spans="1:37" ht="15" x14ac:dyDescent="0.2">
      <c r="A16" s="132" t="s">
        <v>205</v>
      </c>
      <c r="B16" s="134" t="s">
        <v>206</v>
      </c>
      <c r="C16" s="138">
        <v>0.34</v>
      </c>
      <c r="D16" s="139">
        <v>0</v>
      </c>
      <c r="E16" s="139">
        <v>1</v>
      </c>
      <c r="F16" s="81">
        <f t="shared" si="2"/>
        <v>0</v>
      </c>
      <c r="G16" s="81">
        <v>8.7099999999999997E-2</v>
      </c>
      <c r="H16" s="81">
        <f t="shared" si="0"/>
        <v>0</v>
      </c>
      <c r="I16" s="81">
        <f t="shared" si="3"/>
        <v>0</v>
      </c>
      <c r="J16" s="156">
        <f>46221.1+9.343</f>
        <v>46230.442999999999</v>
      </c>
      <c r="K16" s="153"/>
      <c r="L16" s="154">
        <f>3959.84+0.01</f>
        <v>3959.8500000000004</v>
      </c>
      <c r="M16" s="81">
        <f t="shared" si="4"/>
        <v>42270.593000000001</v>
      </c>
      <c r="N16" s="81">
        <v>9.8699999999999996E-2</v>
      </c>
      <c r="O16" s="81">
        <f t="shared" si="17"/>
        <v>4172.1075290999997</v>
      </c>
      <c r="P16" s="81">
        <f t="shared" si="5"/>
        <v>1418.516559894</v>
      </c>
      <c r="Q16" s="81">
        <f t="shared" si="6"/>
        <v>38098.485470899999</v>
      </c>
      <c r="R16" s="81">
        <v>0.25</v>
      </c>
      <c r="S16" s="81">
        <f t="shared" si="7"/>
        <v>9524.6213677249998</v>
      </c>
      <c r="T16" s="81">
        <f t="shared" si="8"/>
        <v>3238.3712650265002</v>
      </c>
      <c r="U16" s="81">
        <f t="shared" si="9"/>
        <v>28573.864103175001</v>
      </c>
      <c r="V16" s="81">
        <v>0.12959999999999999</v>
      </c>
      <c r="W16" s="81">
        <f t="shared" si="18"/>
        <v>3703.1727877714798</v>
      </c>
      <c r="X16" s="81">
        <f t="shared" si="10"/>
        <v>1259.0787478423033</v>
      </c>
      <c r="Y16" s="81">
        <f t="shared" si="11"/>
        <v>24870.691315403521</v>
      </c>
      <c r="Z16" s="138">
        <v>0.18160000000000001</v>
      </c>
      <c r="AA16" s="81">
        <f t="shared" si="1"/>
        <v>4516.51754287728</v>
      </c>
      <c r="AB16" s="81">
        <f t="shared" si="12"/>
        <v>1535.6159645782752</v>
      </c>
      <c r="AC16" s="81">
        <f t="shared" si="13"/>
        <v>21916.419227473758</v>
      </c>
      <c r="AD16" s="81">
        <f t="shared" si="14"/>
        <v>7451.5825373410789</v>
      </c>
      <c r="AE16" s="81">
        <f t="shared" si="15"/>
        <v>7.4515825373410787E-3</v>
      </c>
      <c r="AG16" s="107">
        <f t="shared" si="16"/>
        <v>14372.001620000001</v>
      </c>
      <c r="AI16" s="65"/>
      <c r="AJ16" s="66"/>
      <c r="AK16" s="66"/>
    </row>
    <row r="17" spans="1:37" ht="15" x14ac:dyDescent="0.2">
      <c r="A17" s="132" t="s">
        <v>205</v>
      </c>
      <c r="B17" s="134" t="s">
        <v>207</v>
      </c>
      <c r="C17" s="138">
        <v>0.45</v>
      </c>
      <c r="D17" s="139">
        <v>0</v>
      </c>
      <c r="E17" s="139">
        <v>0.99620668223998632</v>
      </c>
      <c r="F17" s="81">
        <f t="shared" si="2"/>
        <v>0</v>
      </c>
      <c r="G17" s="81">
        <v>8.7099999999999997E-2</v>
      </c>
      <c r="H17" s="81">
        <f t="shared" si="0"/>
        <v>0</v>
      </c>
      <c r="I17" s="81">
        <f t="shared" si="3"/>
        <v>0</v>
      </c>
      <c r="J17" s="156">
        <f>0.001*59095985.76</f>
        <v>59095.985759999996</v>
      </c>
      <c r="K17" s="153"/>
      <c r="L17" s="154">
        <f>28924.29*0.001</f>
        <v>28.924290000000003</v>
      </c>
      <c r="M17" s="81">
        <f t="shared" si="4"/>
        <v>58843.001336694026</v>
      </c>
      <c r="N17" s="81">
        <v>9.8699999999999996E-2</v>
      </c>
      <c r="O17" s="81">
        <f t="shared" si="17"/>
        <v>5807.8042319317001</v>
      </c>
      <c r="P17" s="81">
        <f t="shared" si="5"/>
        <v>2613.5119043692653</v>
      </c>
      <c r="Q17" s="81">
        <f t="shared" si="6"/>
        <v>53035.197104762323</v>
      </c>
      <c r="R17" s="81">
        <v>0.25</v>
      </c>
      <c r="S17" s="81">
        <f t="shared" si="7"/>
        <v>13258.799276190581</v>
      </c>
      <c r="T17" s="81">
        <f t="shared" si="8"/>
        <v>5966.4596742857611</v>
      </c>
      <c r="U17" s="81">
        <f t="shared" si="9"/>
        <v>39776.397828571746</v>
      </c>
      <c r="V17" s="81">
        <v>0.12959999999999999</v>
      </c>
      <c r="W17" s="81">
        <f t="shared" si="18"/>
        <v>5155.0211585828984</v>
      </c>
      <c r="X17" s="81">
        <f t="shared" si="10"/>
        <v>2319.7595213623044</v>
      </c>
      <c r="Y17" s="81">
        <f t="shared" si="11"/>
        <v>34621.376669988851</v>
      </c>
      <c r="Z17" s="138">
        <v>0.18160000000000001</v>
      </c>
      <c r="AA17" s="81">
        <f t="shared" si="1"/>
        <v>6287.2420032699756</v>
      </c>
      <c r="AB17" s="81">
        <f t="shared" si="12"/>
        <v>2829.258901471489</v>
      </c>
      <c r="AC17" s="81">
        <f t="shared" si="13"/>
        <v>30508.866669975156</v>
      </c>
      <c r="AD17" s="81">
        <f t="shared" si="14"/>
        <v>13728.990001488819</v>
      </c>
      <c r="AE17" s="81">
        <f t="shared" si="15"/>
        <v>1.3728990001488818E-2</v>
      </c>
      <c r="AG17" s="107">
        <f t="shared" si="16"/>
        <v>26580.177661499998</v>
      </c>
      <c r="AI17" s="65"/>
      <c r="AJ17" s="66"/>
      <c r="AK17" s="66"/>
    </row>
    <row r="18" spans="1:37" ht="15" x14ac:dyDescent="0.2">
      <c r="A18" s="132" t="s">
        <v>205</v>
      </c>
      <c r="B18" s="134" t="s">
        <v>208</v>
      </c>
      <c r="C18" s="138">
        <v>0.23</v>
      </c>
      <c r="D18" s="139">
        <v>0</v>
      </c>
      <c r="E18" s="139">
        <v>1</v>
      </c>
      <c r="F18" s="81">
        <f t="shared" si="2"/>
        <v>0</v>
      </c>
      <c r="G18" s="81">
        <v>8.7099999999999997E-2</v>
      </c>
      <c r="H18" s="81">
        <f t="shared" si="0"/>
        <v>0</v>
      </c>
      <c r="I18" s="81">
        <f t="shared" si="3"/>
        <v>0</v>
      </c>
      <c r="J18" s="156">
        <f>0.001*315533684.97</f>
        <v>315533.68497000006</v>
      </c>
      <c r="K18" s="153"/>
      <c r="L18" s="154">
        <f>16602893.48*0.001</f>
        <v>16602.893480000002</v>
      </c>
      <c r="M18" s="81">
        <f t="shared" si="4"/>
        <v>298930.79149000003</v>
      </c>
      <c r="N18" s="81">
        <v>9.8699999999999996E-2</v>
      </c>
      <c r="O18" s="81">
        <f t="shared" si="17"/>
        <v>29504.469120063</v>
      </c>
      <c r="P18" s="81">
        <f t="shared" si="5"/>
        <v>6786.02789761449</v>
      </c>
      <c r="Q18" s="81">
        <f t="shared" si="6"/>
        <v>269426.32236993703</v>
      </c>
      <c r="R18" s="81">
        <v>0.25</v>
      </c>
      <c r="S18" s="81">
        <f t="shared" si="7"/>
        <v>67356.580592484257</v>
      </c>
      <c r="T18" s="81">
        <f t="shared" si="8"/>
        <v>15492.013536271379</v>
      </c>
      <c r="U18" s="81">
        <f t="shared" si="9"/>
        <v>202069.74177745276</v>
      </c>
      <c r="V18" s="81">
        <v>0.12959999999999999</v>
      </c>
      <c r="W18" s="81">
        <f t="shared" si="18"/>
        <v>26188.238534357875</v>
      </c>
      <c r="X18" s="81">
        <f t="shared" si="10"/>
        <v>6023.2948629023113</v>
      </c>
      <c r="Y18" s="81">
        <f t="shared" si="11"/>
        <v>175881.50324309489</v>
      </c>
      <c r="Z18" s="138">
        <v>0.18160000000000001</v>
      </c>
      <c r="AA18" s="81">
        <f t="shared" si="1"/>
        <v>31940.080988946036</v>
      </c>
      <c r="AB18" s="81">
        <f t="shared" si="12"/>
        <v>7346.2186274575888</v>
      </c>
      <c r="AC18" s="81">
        <f t="shared" si="13"/>
        <v>154989.36923585116</v>
      </c>
      <c r="AD18" s="81">
        <f t="shared" si="14"/>
        <v>35647.554924245771</v>
      </c>
      <c r="AE18" s="81">
        <f t="shared" si="15"/>
        <v>3.5647554924245768E-2</v>
      </c>
      <c r="AG18" s="107">
        <f t="shared" si="16"/>
        <v>68754.082042700014</v>
      </c>
      <c r="AI18" s="65"/>
      <c r="AJ18" s="66"/>
      <c r="AK18" s="66"/>
    </row>
    <row r="19" spans="1:37" ht="15" x14ac:dyDescent="0.2">
      <c r="A19" s="132" t="s">
        <v>205</v>
      </c>
      <c r="B19" s="134" t="s">
        <v>209</v>
      </c>
      <c r="C19" s="138">
        <v>0.62</v>
      </c>
      <c r="D19" s="139">
        <v>0</v>
      </c>
      <c r="E19" s="139">
        <v>1</v>
      </c>
      <c r="F19" s="81">
        <f t="shared" si="2"/>
        <v>0</v>
      </c>
      <c r="G19" s="81">
        <v>8.7099999999999997E-2</v>
      </c>
      <c r="H19" s="81">
        <f t="shared" si="0"/>
        <v>0</v>
      </c>
      <c r="I19" s="81">
        <f t="shared" si="3"/>
        <v>0</v>
      </c>
      <c r="J19" s="156">
        <f>16131.2+1669.26</f>
        <v>17800.46</v>
      </c>
      <c r="K19" s="153"/>
      <c r="L19" s="154">
        <f>1573.24+339.434</f>
        <v>1912.674</v>
      </c>
      <c r="M19" s="81">
        <f t="shared" si="4"/>
        <v>15887.786</v>
      </c>
      <c r="N19" s="81">
        <v>9.8699999999999996E-2</v>
      </c>
      <c r="O19" s="81">
        <f t="shared" si="17"/>
        <v>1568.1244781999999</v>
      </c>
      <c r="P19" s="81">
        <f t="shared" si="5"/>
        <v>972.23717648399997</v>
      </c>
      <c r="Q19" s="81">
        <f t="shared" si="6"/>
        <v>14319.661521800001</v>
      </c>
      <c r="R19" s="81">
        <v>0.25</v>
      </c>
      <c r="S19" s="81">
        <f t="shared" si="7"/>
        <v>3579.9153804500002</v>
      </c>
      <c r="T19" s="81">
        <f t="shared" si="8"/>
        <v>2219.547535879</v>
      </c>
      <c r="U19" s="81">
        <f t="shared" si="9"/>
        <v>10739.74614135</v>
      </c>
      <c r="V19" s="81">
        <v>0.12959999999999999</v>
      </c>
      <c r="W19" s="81">
        <f t="shared" si="18"/>
        <v>1391.87109991896</v>
      </c>
      <c r="X19" s="81">
        <f t="shared" si="10"/>
        <v>862.96008194975525</v>
      </c>
      <c r="Y19" s="81">
        <f t="shared" si="11"/>
        <v>9347.8750414310398</v>
      </c>
      <c r="Z19" s="138">
        <v>0.18160000000000001</v>
      </c>
      <c r="AA19" s="81">
        <f t="shared" si="1"/>
        <v>1697.5741075238768</v>
      </c>
      <c r="AB19" s="81">
        <f t="shared" si="12"/>
        <v>1052.4959466648036</v>
      </c>
      <c r="AC19" s="81">
        <f t="shared" si="13"/>
        <v>8237.4850660928369</v>
      </c>
      <c r="AD19" s="81">
        <f t="shared" si="14"/>
        <v>5107.2407409775587</v>
      </c>
      <c r="AE19" s="81">
        <f t="shared" si="15"/>
        <v>5.1072407409775587E-3</v>
      </c>
      <c r="AG19" s="107">
        <f t="shared" si="16"/>
        <v>9850.4273200000007</v>
      </c>
      <c r="AI19" s="65"/>
      <c r="AJ19" s="66"/>
      <c r="AK19" s="66"/>
    </row>
    <row r="20" spans="1:37" ht="15" x14ac:dyDescent="0.2">
      <c r="A20" s="132" t="s">
        <v>205</v>
      </c>
      <c r="B20" s="134" t="s">
        <v>210</v>
      </c>
      <c r="C20" s="138">
        <v>0.84</v>
      </c>
      <c r="D20" s="139">
        <v>0</v>
      </c>
      <c r="E20" s="139">
        <v>1</v>
      </c>
      <c r="F20" s="81">
        <f t="shared" si="2"/>
        <v>0</v>
      </c>
      <c r="G20" s="81">
        <v>8.7099999999999997E-2</v>
      </c>
      <c r="H20" s="81">
        <f t="shared" si="0"/>
        <v>0</v>
      </c>
      <c r="I20" s="81">
        <f t="shared" si="3"/>
        <v>0</v>
      </c>
      <c r="J20" s="157">
        <f>0.001*189998836.64</f>
        <v>189998.83663999999</v>
      </c>
      <c r="K20" s="153"/>
      <c r="L20" s="154">
        <f>66370685.4*0.001</f>
        <v>66370.685400000002</v>
      </c>
      <c r="M20" s="81">
        <f t="shared" si="4"/>
        <v>123628.15123999999</v>
      </c>
      <c r="N20" s="81">
        <v>9.8699999999999996E-2</v>
      </c>
      <c r="O20" s="81">
        <f t="shared" si="17"/>
        <v>12202.098527387998</v>
      </c>
      <c r="P20" s="81">
        <f t="shared" si="5"/>
        <v>10249.762763005918</v>
      </c>
      <c r="Q20" s="81">
        <f t="shared" si="6"/>
        <v>111426.052712612</v>
      </c>
      <c r="R20" s="81">
        <v>0.25</v>
      </c>
      <c r="S20" s="81">
        <f t="shared" si="7"/>
        <v>27856.513178153</v>
      </c>
      <c r="T20" s="81">
        <f t="shared" si="8"/>
        <v>23399.47106964852</v>
      </c>
      <c r="U20" s="81">
        <f t="shared" si="9"/>
        <v>83569.539534459007</v>
      </c>
      <c r="V20" s="81">
        <v>0.12959999999999999</v>
      </c>
      <c r="W20" s="81">
        <f t="shared" si="18"/>
        <v>10830.612323665886</v>
      </c>
      <c r="X20" s="81">
        <f t="shared" si="10"/>
        <v>9097.7143518793437</v>
      </c>
      <c r="Y20" s="81">
        <f t="shared" si="11"/>
        <v>72738.927210793117</v>
      </c>
      <c r="Z20" s="138">
        <v>0.18160000000000001</v>
      </c>
      <c r="AA20" s="81">
        <f t="shared" si="1"/>
        <v>13209.389181480032</v>
      </c>
      <c r="AB20" s="81">
        <f t="shared" si="12"/>
        <v>11095.886912443226</v>
      </c>
      <c r="AC20" s="81">
        <f t="shared" si="13"/>
        <v>64098.613210686919</v>
      </c>
      <c r="AD20" s="81">
        <f t="shared" si="14"/>
        <v>53842.835096977011</v>
      </c>
      <c r="AE20" s="81">
        <f t="shared" si="15"/>
        <v>5.3842835096977008E-2</v>
      </c>
      <c r="AG20" s="107">
        <f t="shared" si="16"/>
        <v>103847.64704159999</v>
      </c>
      <c r="AI20" s="65"/>
      <c r="AJ20" s="66"/>
      <c r="AK20" s="66"/>
    </row>
    <row r="21" spans="1:37" ht="15" x14ac:dyDescent="0.2">
      <c r="A21" s="132" t="s">
        <v>205</v>
      </c>
      <c r="B21" s="134" t="s">
        <v>211</v>
      </c>
      <c r="C21" s="138">
        <v>0.81</v>
      </c>
      <c r="D21" s="139">
        <v>22793</v>
      </c>
      <c r="E21" s="139">
        <v>0.99988602377999858</v>
      </c>
      <c r="F21" s="81">
        <f t="shared" si="2"/>
        <v>22790.402140017508</v>
      </c>
      <c r="G21" s="81">
        <v>8.7099999999999997E-2</v>
      </c>
      <c r="H21" s="81">
        <f t="shared" si="0"/>
        <v>1985.044026395525</v>
      </c>
      <c r="I21" s="81">
        <f t="shared" si="3"/>
        <v>1607.8856613803753</v>
      </c>
      <c r="J21" s="157">
        <f>0.001*575260036.43</f>
        <v>575260.03642999998</v>
      </c>
      <c r="K21" s="153"/>
      <c r="L21" s="154">
        <f>0.001*25193075</f>
        <v>25193.075000000001</v>
      </c>
      <c r="M21" s="81">
        <f t="shared" si="4"/>
        <v>570809.62499061052</v>
      </c>
      <c r="N21" s="81">
        <v>9.8699999999999996E-2</v>
      </c>
      <c r="O21" s="81">
        <f t="shared" si="17"/>
        <v>56338.909986573257</v>
      </c>
      <c r="P21" s="81">
        <f t="shared" si="5"/>
        <v>45634.51708912434</v>
      </c>
      <c r="Q21" s="81">
        <f t="shared" si="6"/>
        <v>514470.71500403725</v>
      </c>
      <c r="R21" s="81">
        <v>0.25</v>
      </c>
      <c r="S21" s="81">
        <f t="shared" si="7"/>
        <v>128617.67875100931</v>
      </c>
      <c r="T21" s="81">
        <f t="shared" si="8"/>
        <v>104180.31978831755</v>
      </c>
      <c r="U21" s="81">
        <f t="shared" si="9"/>
        <v>385853.03625302797</v>
      </c>
      <c r="V21" s="81">
        <v>0.12959999999999999</v>
      </c>
      <c r="W21" s="81">
        <f t="shared" si="18"/>
        <v>50006.553498392423</v>
      </c>
      <c r="X21" s="81">
        <f t="shared" si="10"/>
        <v>40505.308333697867</v>
      </c>
      <c r="Y21" s="81">
        <f>U21-W21</f>
        <v>335846.48275463557</v>
      </c>
      <c r="Z21" s="138">
        <v>0.18160000000000001</v>
      </c>
      <c r="AA21" s="81">
        <f t="shared" si="1"/>
        <v>60989.721268241825</v>
      </c>
      <c r="AB21" s="81">
        <f t="shared" si="12"/>
        <v>49401.674227275878</v>
      </c>
      <c r="AC21" s="81">
        <f t="shared" si="13"/>
        <v>297937.90753061237</v>
      </c>
      <c r="AD21" s="81">
        <f t="shared" si="14"/>
        <v>241329.70509979603</v>
      </c>
      <c r="AE21" s="81">
        <f t="shared" si="15"/>
        <v>0.24132970509979601</v>
      </c>
      <c r="AG21" s="107">
        <f t="shared" si="16"/>
        <v>445554.23875830002</v>
      </c>
      <c r="AI21" s="65"/>
      <c r="AJ21" s="66"/>
      <c r="AK21" s="66"/>
    </row>
    <row r="22" spans="1:37" ht="15" x14ac:dyDescent="0.2">
      <c r="A22" s="132" t="s">
        <v>180</v>
      </c>
      <c r="B22" s="137" t="s">
        <v>181</v>
      </c>
      <c r="C22" s="138">
        <v>5.29</v>
      </c>
      <c r="D22" s="139">
        <v>4567</v>
      </c>
      <c r="E22" s="139">
        <v>0.91631202515818311</v>
      </c>
      <c r="F22" s="81">
        <f t="shared" si="2"/>
        <v>4184.7970188974223</v>
      </c>
      <c r="G22" s="81">
        <v>8.2000000000000003E-2</v>
      </c>
      <c r="H22" s="81">
        <f t="shared" si="0"/>
        <v>343.15335554958864</v>
      </c>
      <c r="I22" s="81">
        <f t="shared" si="3"/>
        <v>1815.2812508573238</v>
      </c>
      <c r="J22" s="157">
        <f>0.001*129826989.01</f>
        <v>129826.98901</v>
      </c>
      <c r="K22" s="153"/>
      <c r="L22" s="154">
        <f>17393428*0.001</f>
        <v>17393.428</v>
      </c>
      <c r="M22" s="81">
        <f t="shared" si="4"/>
        <v>106865.86764816707</v>
      </c>
      <c r="N22" s="81">
        <v>0.25469999999999998</v>
      </c>
      <c r="O22" s="81">
        <f t="shared" si="17"/>
        <v>27218.73648998815</v>
      </c>
      <c r="P22" s="81">
        <f t="shared" si="5"/>
        <v>143987.11603203733</v>
      </c>
      <c r="Q22" s="81">
        <f t="shared" si="6"/>
        <v>79647.13115817892</v>
      </c>
      <c r="R22" s="81">
        <v>0.09</v>
      </c>
      <c r="S22" s="81">
        <f t="shared" si="7"/>
        <v>7168.2418042361023</v>
      </c>
      <c r="T22" s="81">
        <f t="shared" si="8"/>
        <v>37919.999144408983</v>
      </c>
      <c r="U22" s="81">
        <f t="shared" si="9"/>
        <v>72478.889353942825</v>
      </c>
      <c r="V22" s="81">
        <v>0.12330000000000001</v>
      </c>
      <c r="W22" s="81">
        <f t="shared" si="18"/>
        <v>8936.6470573411516</v>
      </c>
      <c r="X22" s="81">
        <f t="shared" si="10"/>
        <v>47274.862933334691</v>
      </c>
      <c r="Y22" s="81">
        <f t="shared" si="11"/>
        <v>63542.242296601675</v>
      </c>
      <c r="Z22" s="138">
        <v>0.02</v>
      </c>
      <c r="AA22" s="81">
        <f t="shared" si="1"/>
        <v>1270.8448459320334</v>
      </c>
      <c r="AB22" s="81">
        <f t="shared" si="12"/>
        <v>6722.7692349804565</v>
      </c>
      <c r="AC22" s="81">
        <f t="shared" si="13"/>
        <v>44937.623553047029</v>
      </c>
      <c r="AD22" s="81">
        <f t="shared" si="14"/>
        <v>237720.02859561876</v>
      </c>
      <c r="AE22" s="81">
        <f t="shared" si="15"/>
        <v>0.23772002859561875</v>
      </c>
      <c r="AG22" s="140">
        <f t="shared" si="16"/>
        <v>594773.53774290008</v>
      </c>
      <c r="AI22" s="65"/>
      <c r="AJ22" s="66"/>
      <c r="AK22" s="66"/>
    </row>
    <row r="23" spans="1:37" ht="15" x14ac:dyDescent="0.2">
      <c r="A23" s="132" t="s">
        <v>182</v>
      </c>
      <c r="B23" s="134" t="s">
        <v>183</v>
      </c>
      <c r="C23" s="138">
        <v>39.08</v>
      </c>
      <c r="D23" s="139">
        <v>0</v>
      </c>
      <c r="E23" s="139">
        <v>1</v>
      </c>
      <c r="F23" s="81">
        <f t="shared" si="2"/>
        <v>0</v>
      </c>
      <c r="G23" s="138">
        <v>0.1</v>
      </c>
      <c r="H23" s="81">
        <f t="shared" si="0"/>
        <v>0</v>
      </c>
      <c r="I23" s="81">
        <f t="shared" si="3"/>
        <v>0</v>
      </c>
      <c r="J23" s="157">
        <f>0.001*401024266</f>
        <v>401024.266</v>
      </c>
      <c r="K23" s="153"/>
      <c r="L23" s="154">
        <f>0.001*171088883</f>
        <v>171088.883</v>
      </c>
      <c r="M23" s="81">
        <f t="shared" si="4"/>
        <v>229935.383</v>
      </c>
      <c r="N23" s="81">
        <v>2.0999999999999999E-3</v>
      </c>
      <c r="O23" s="81">
        <f>M23*N23</f>
        <v>482.86430429999996</v>
      </c>
      <c r="P23" s="81">
        <f t="shared" si="5"/>
        <v>18870.337012043998</v>
      </c>
      <c r="Q23" s="81">
        <f t="shared" si="6"/>
        <v>229452.51869570001</v>
      </c>
      <c r="R23" s="81">
        <v>0.05</v>
      </c>
      <c r="S23" s="81">
        <f t="shared" si="7"/>
        <v>11472.625934785001</v>
      </c>
      <c r="T23" s="81">
        <f t="shared" si="8"/>
        <v>448350.22153139784</v>
      </c>
      <c r="U23" s="81">
        <f t="shared" si="9"/>
        <v>217979.89276091501</v>
      </c>
      <c r="V23" s="81">
        <v>7.0000000000000007E-2</v>
      </c>
      <c r="W23" s="81">
        <f t="shared" si="18"/>
        <v>15258.592493264052</v>
      </c>
      <c r="X23" s="81">
        <f t="shared" si="10"/>
        <v>596305.79463675909</v>
      </c>
      <c r="Y23" s="81">
        <f t="shared" si="11"/>
        <v>202721.30026765095</v>
      </c>
      <c r="Z23" s="138">
        <v>0.04</v>
      </c>
      <c r="AA23" s="81">
        <f t="shared" si="1"/>
        <v>8108.8520107060385</v>
      </c>
      <c r="AB23" s="81">
        <f t="shared" si="12"/>
        <v>316893.93657839199</v>
      </c>
      <c r="AC23" s="81">
        <f t="shared" si="13"/>
        <v>35322.934743055092</v>
      </c>
      <c r="AD23" s="81">
        <f t="shared" si="14"/>
        <v>1380420.2897585928</v>
      </c>
      <c r="AE23" s="81">
        <f t="shared" si="15"/>
        <v>1.3804202897585929</v>
      </c>
      <c r="AG23" s="140">
        <f t="shared" si="16"/>
        <v>8985874.7676400002</v>
      </c>
      <c r="AI23" s="65"/>
      <c r="AJ23" s="66"/>
      <c r="AK23" s="66"/>
    </row>
    <row r="24" spans="1:37" ht="15" x14ac:dyDescent="0.2">
      <c r="A24" s="132" t="s">
        <v>182</v>
      </c>
      <c r="B24" s="134" t="s">
        <v>184</v>
      </c>
      <c r="C24" s="138">
        <v>15.71</v>
      </c>
      <c r="D24" s="139">
        <v>0</v>
      </c>
      <c r="E24" s="139">
        <v>1</v>
      </c>
      <c r="F24" s="81">
        <f t="shared" si="2"/>
        <v>0</v>
      </c>
      <c r="G24" s="138">
        <v>0.1</v>
      </c>
      <c r="H24" s="81">
        <f t="shared" si="0"/>
        <v>0</v>
      </c>
      <c r="I24" s="81">
        <f t="shared" si="3"/>
        <v>0</v>
      </c>
      <c r="J24" s="157">
        <v>15999.470000000001</v>
      </c>
      <c r="K24" s="153"/>
      <c r="L24" s="154">
        <f>0.001*1676525</f>
        <v>1676.5250000000001</v>
      </c>
      <c r="M24" s="81">
        <f t="shared" si="4"/>
        <v>14322.945000000002</v>
      </c>
      <c r="N24" s="81">
        <v>2E-3</v>
      </c>
      <c r="O24" s="81">
        <f t="shared" si="17"/>
        <v>28.645890000000005</v>
      </c>
      <c r="P24" s="81">
        <f t="shared" si="5"/>
        <v>450.02693190000008</v>
      </c>
      <c r="Q24" s="81">
        <f t="shared" si="6"/>
        <v>14294.299110000002</v>
      </c>
      <c r="R24" s="81">
        <v>0.05</v>
      </c>
      <c r="S24" s="81">
        <f t="shared" si="7"/>
        <v>714.71495550000009</v>
      </c>
      <c r="T24" s="81">
        <f t="shared" si="8"/>
        <v>11228.171950905002</v>
      </c>
      <c r="U24" s="81">
        <f t="shared" si="9"/>
        <v>13579.584154500002</v>
      </c>
      <c r="V24" s="81">
        <v>7.0000000000000007E-2</v>
      </c>
      <c r="W24" s="81">
        <f t="shared" si="18"/>
        <v>950.57089081500021</v>
      </c>
      <c r="X24" s="81">
        <f t="shared" si="10"/>
        <v>14933.468694703653</v>
      </c>
      <c r="Y24" s="81">
        <f t="shared" si="11"/>
        <v>12629.013263685001</v>
      </c>
      <c r="Z24" s="138">
        <v>0.04</v>
      </c>
      <c r="AA24" s="81">
        <f t="shared" si="1"/>
        <v>505.16053054740007</v>
      </c>
      <c r="AB24" s="81">
        <f t="shared" si="12"/>
        <v>7936.0719348996554</v>
      </c>
      <c r="AC24" s="81">
        <f t="shared" si="13"/>
        <v>2199.0922668624003</v>
      </c>
      <c r="AD24" s="81">
        <f t="shared" si="14"/>
        <v>34547.739512408312</v>
      </c>
      <c r="AE24" s="81">
        <f t="shared" si="15"/>
        <v>3.4547739512408311E-2</v>
      </c>
      <c r="AG24" s="140">
        <f t="shared" si="16"/>
        <v>225013.46595000004</v>
      </c>
      <c r="AI24" s="65"/>
      <c r="AJ24" s="66"/>
      <c r="AK24" s="66"/>
    </row>
    <row r="25" spans="1:37" ht="15" x14ac:dyDescent="0.2">
      <c r="A25" s="132" t="s">
        <v>182</v>
      </c>
      <c r="B25" s="134" t="s">
        <v>185</v>
      </c>
      <c r="C25" s="138">
        <v>6.92</v>
      </c>
      <c r="D25" s="139">
        <v>0</v>
      </c>
      <c r="E25" s="139">
        <v>1</v>
      </c>
      <c r="F25" s="81">
        <f t="shared" si="2"/>
        <v>0</v>
      </c>
      <c r="G25" s="138">
        <v>0.06</v>
      </c>
      <c r="H25" s="81">
        <f t="shared" si="0"/>
        <v>0</v>
      </c>
      <c r="I25" s="81">
        <f t="shared" si="3"/>
        <v>0</v>
      </c>
      <c r="J25" s="157">
        <v>107095.85400000001</v>
      </c>
      <c r="K25" s="153"/>
      <c r="L25" s="154">
        <f>0.001*7896757</f>
        <v>7896.7570000000005</v>
      </c>
      <c r="M25" s="81">
        <f t="shared" si="4"/>
        <v>99199.097000000009</v>
      </c>
      <c r="N25" s="81">
        <v>4.6999999999999993E-3</v>
      </c>
      <c r="O25" s="81">
        <f t="shared" si="17"/>
        <v>466.23575589999996</v>
      </c>
      <c r="P25" s="81">
        <f t="shared" si="5"/>
        <v>3226.3514308279996</v>
      </c>
      <c r="Q25" s="81">
        <f t="shared" si="6"/>
        <v>98732.861244100015</v>
      </c>
      <c r="R25" s="81">
        <v>0.05</v>
      </c>
      <c r="S25" s="81">
        <f t="shared" si="7"/>
        <v>4936.6430622050011</v>
      </c>
      <c r="T25" s="81">
        <f t="shared" si="8"/>
        <v>34161.569990458607</v>
      </c>
      <c r="U25" s="81">
        <f t="shared" si="9"/>
        <v>93796.218181895019</v>
      </c>
      <c r="V25" s="81">
        <v>7.0000000000000007E-2</v>
      </c>
      <c r="W25" s="81">
        <f t="shared" si="18"/>
        <v>6565.7352727326515</v>
      </c>
      <c r="X25" s="81">
        <f t="shared" si="10"/>
        <v>45434.888087309948</v>
      </c>
      <c r="Y25" s="81">
        <f t="shared" si="11"/>
        <v>87230.482909162369</v>
      </c>
      <c r="Z25" s="138">
        <v>0.04</v>
      </c>
      <c r="AA25" s="81">
        <f t="shared" si="1"/>
        <v>3489.2193163664947</v>
      </c>
      <c r="AB25" s="81">
        <f t="shared" si="12"/>
        <v>24145.397669256145</v>
      </c>
      <c r="AC25" s="81">
        <f t="shared" si="13"/>
        <v>15457.833407204147</v>
      </c>
      <c r="AD25" s="81">
        <f t="shared" si="14"/>
        <v>106968.20717785269</v>
      </c>
      <c r="AE25" s="81">
        <f t="shared" si="15"/>
        <v>0.10696820717785269</v>
      </c>
      <c r="AG25" s="140">
        <f t="shared" si="16"/>
        <v>686457.75124000001</v>
      </c>
      <c r="AI25" s="65"/>
      <c r="AJ25" s="66"/>
      <c r="AK25" s="66"/>
    </row>
    <row r="26" spans="1:37" ht="15" x14ac:dyDescent="0.2">
      <c r="A26" s="132" t="s">
        <v>182</v>
      </c>
      <c r="B26" s="134" t="s">
        <v>186</v>
      </c>
      <c r="C26" s="138">
        <v>4.68</v>
      </c>
      <c r="D26" s="139">
        <v>0</v>
      </c>
      <c r="E26" s="139">
        <v>0.98089290131090778</v>
      </c>
      <c r="F26" s="81">
        <f t="shared" si="2"/>
        <v>0</v>
      </c>
      <c r="G26" s="138">
        <v>0.08</v>
      </c>
      <c r="H26" s="81">
        <f t="shared" si="0"/>
        <v>0</v>
      </c>
      <c r="I26" s="81">
        <f t="shared" si="3"/>
        <v>0</v>
      </c>
      <c r="J26" s="157">
        <v>195652.17045000001</v>
      </c>
      <c r="K26" s="153"/>
      <c r="L26" s="154">
        <f>0.001*29848933.06</f>
        <v>29848.933059999999</v>
      </c>
      <c r="M26" s="81">
        <f t="shared" si="4"/>
        <v>162635.21857021831</v>
      </c>
      <c r="N26" s="81">
        <v>9.7000000000000003E-3</v>
      </c>
      <c r="O26" s="81">
        <f t="shared" si="17"/>
        <v>1577.5616201311177</v>
      </c>
      <c r="P26" s="81">
        <f t="shared" si="5"/>
        <v>7382.9883822136308</v>
      </c>
      <c r="Q26" s="81">
        <f t="shared" si="6"/>
        <v>161057.6569500872</v>
      </c>
      <c r="R26" s="81">
        <v>0.05</v>
      </c>
      <c r="S26" s="81">
        <f t="shared" si="7"/>
        <v>8052.8828475043601</v>
      </c>
      <c r="T26" s="81">
        <f t="shared" si="8"/>
        <v>37687.491726320404</v>
      </c>
      <c r="U26" s="81">
        <f t="shared" si="9"/>
        <v>153004.77410258283</v>
      </c>
      <c r="V26" s="81">
        <v>7.0000000000000007E-2</v>
      </c>
      <c r="W26" s="81">
        <f t="shared" si="18"/>
        <v>10710.334187180799</v>
      </c>
      <c r="X26" s="81">
        <f t="shared" si="10"/>
        <v>50124.363996006134</v>
      </c>
      <c r="Y26" s="81">
        <f t="shared" si="11"/>
        <v>142294.43991540204</v>
      </c>
      <c r="Z26" s="138">
        <v>0.04</v>
      </c>
      <c r="AA26" s="81">
        <f t="shared" si="1"/>
        <v>5691.7775966160816</v>
      </c>
      <c r="AB26" s="81">
        <f t="shared" si="12"/>
        <v>26637.519152163259</v>
      </c>
      <c r="AC26" s="81">
        <f t="shared" si="13"/>
        <v>26032.556251432357</v>
      </c>
      <c r="AD26" s="81">
        <f t="shared" si="14"/>
        <v>121832.36325670342</v>
      </c>
      <c r="AE26" s="81">
        <f t="shared" si="15"/>
        <v>0.12183236325670342</v>
      </c>
      <c r="AG26" s="140">
        <f t="shared" si="16"/>
        <v>775959.15098519996</v>
      </c>
      <c r="AI26" s="65"/>
      <c r="AJ26" s="66"/>
      <c r="AK26" s="66"/>
    </row>
    <row r="27" spans="1:37" ht="15" x14ac:dyDescent="0.2">
      <c r="A27" s="132" t="s">
        <v>187</v>
      </c>
      <c r="B27" s="134" t="s">
        <v>188</v>
      </c>
      <c r="C27" s="138">
        <v>3.06</v>
      </c>
      <c r="D27" s="139">
        <f>616*60*10^-6</f>
        <v>3.696E-2</v>
      </c>
      <c r="E27" s="139">
        <v>0.90840605653762962</v>
      </c>
      <c r="F27" s="81">
        <f t="shared" si="2"/>
        <v>3.3574687849630788E-2</v>
      </c>
      <c r="G27" s="138">
        <v>0.08</v>
      </c>
      <c r="H27" s="81">
        <f t="shared" si="0"/>
        <v>2.6859750279704629E-3</v>
      </c>
      <c r="I27" s="81">
        <f t="shared" si="3"/>
        <v>8.219083585589617E-3</v>
      </c>
      <c r="J27" s="152">
        <f>0.001*96281880.59</f>
        <v>96281.880590000001</v>
      </c>
      <c r="K27" s="153"/>
      <c r="L27" s="154">
        <f>0.001*2128779.68</f>
        <v>2128.7796800000001</v>
      </c>
      <c r="M27" s="81">
        <f t="shared" si="4"/>
        <v>85529.277997155426</v>
      </c>
      <c r="N27" s="81">
        <v>7.2300000000000003E-2</v>
      </c>
      <c r="O27" s="81">
        <f t="shared" si="17"/>
        <v>6183.7667991943372</v>
      </c>
      <c r="P27" s="81">
        <f t="shared" si="5"/>
        <v>18922.326405534674</v>
      </c>
      <c r="Q27" s="81">
        <f t="shared" si="6"/>
        <v>79345.511197961096</v>
      </c>
      <c r="R27" s="81">
        <v>1E-3</v>
      </c>
      <c r="S27" s="81">
        <f t="shared" si="7"/>
        <v>79.345511197961102</v>
      </c>
      <c r="T27" s="81">
        <f t="shared" si="8"/>
        <v>242.79726426576099</v>
      </c>
      <c r="U27" s="81">
        <f t="shared" si="9"/>
        <v>79266.165686763139</v>
      </c>
      <c r="V27" s="81">
        <v>0.03</v>
      </c>
      <c r="W27" s="81">
        <f t="shared" si="18"/>
        <v>2377.984970602894</v>
      </c>
      <c r="X27" s="81">
        <f t="shared" si="10"/>
        <v>7276.634010044856</v>
      </c>
      <c r="Y27" s="81">
        <f t="shared" si="11"/>
        <v>76888.180716160248</v>
      </c>
      <c r="Z27" s="138">
        <v>0.02</v>
      </c>
      <c r="AA27" s="81">
        <f t="shared" si="1"/>
        <v>1537.763614323205</v>
      </c>
      <c r="AB27" s="81">
        <f t="shared" si="12"/>
        <v>4705.5566598290079</v>
      </c>
      <c r="AC27" s="81">
        <f t="shared" si="13"/>
        <v>10178.863581293424</v>
      </c>
      <c r="AD27" s="81">
        <f t="shared" si="14"/>
        <v>31147.322558757885</v>
      </c>
      <c r="AE27" s="81">
        <f t="shared" si="15"/>
        <v>3.1147322558757885E-2</v>
      </c>
      <c r="AG27" s="140">
        <f t="shared" si="16"/>
        <v>288108.48878459999</v>
      </c>
      <c r="AI27" s="65"/>
      <c r="AJ27" s="66"/>
      <c r="AK27" s="66"/>
    </row>
    <row r="28" spans="1:37" ht="15" x14ac:dyDescent="0.2">
      <c r="A28" s="132" t="s">
        <v>187</v>
      </c>
      <c r="B28" s="134" t="s">
        <v>189</v>
      </c>
      <c r="C28" s="138">
        <v>2.31</v>
      </c>
      <c r="D28" s="139">
        <v>0</v>
      </c>
      <c r="E28" s="139">
        <v>0.8333769781866931</v>
      </c>
      <c r="F28" s="81">
        <f t="shared" si="2"/>
        <v>0</v>
      </c>
      <c r="G28" s="138">
        <v>3.5000000000000003E-2</v>
      </c>
      <c r="H28" s="81">
        <f t="shared" si="0"/>
        <v>0</v>
      </c>
      <c r="I28" s="81">
        <f t="shared" si="3"/>
        <v>0</v>
      </c>
      <c r="J28" s="152">
        <f>237508883.05*10^-3</f>
        <v>237508.88305</v>
      </c>
      <c r="K28" s="153"/>
      <c r="L28" s="154">
        <f>0.001*12038141.5</f>
        <v>12038.1415</v>
      </c>
      <c r="M28" s="81">
        <f t="shared" si="4"/>
        <v>187902.12526245188</v>
      </c>
      <c r="N28" s="81">
        <v>4.6799999999999994E-2</v>
      </c>
      <c r="O28" s="81">
        <f t="shared" si="17"/>
        <v>8793.8194622827468</v>
      </c>
      <c r="P28" s="81">
        <f t="shared" si="5"/>
        <v>20313.722957873146</v>
      </c>
      <c r="Q28" s="81">
        <f t="shared" si="6"/>
        <v>179108.30580016912</v>
      </c>
      <c r="R28" s="81">
        <v>0.02</v>
      </c>
      <c r="S28" s="81">
        <f>Q28*R28</f>
        <v>3582.1661160033827</v>
      </c>
      <c r="T28" s="81">
        <f>S28*C28</f>
        <v>8274.8037279678138</v>
      </c>
      <c r="U28" s="81">
        <f t="shared" si="9"/>
        <v>175526.13968416574</v>
      </c>
      <c r="V28" s="81">
        <v>0.1</v>
      </c>
      <c r="W28" s="81">
        <f t="shared" si="18"/>
        <v>17552.613968416576</v>
      </c>
      <c r="X28" s="81">
        <f t="shared" si="10"/>
        <v>40546.538267042291</v>
      </c>
      <c r="Y28" s="81">
        <f t="shared" si="11"/>
        <v>157973.52571574916</v>
      </c>
      <c r="Z28" s="138">
        <v>0.01</v>
      </c>
      <c r="AA28" s="81">
        <f t="shared" si="1"/>
        <v>1579.7352571574916</v>
      </c>
      <c r="AB28" s="81">
        <f t="shared" si="12"/>
        <v>3649.1884440338058</v>
      </c>
      <c r="AC28" s="81">
        <f>H28+O28+S28+W28+AA28</f>
        <v>31508.334803860198</v>
      </c>
      <c r="AD28" s="81">
        <f t="shared" si="14"/>
        <v>72784.253396917062</v>
      </c>
      <c r="AE28" s="81">
        <f t="shared" si="15"/>
        <v>7.2784253396917062E-2</v>
      </c>
      <c r="AG28" s="140">
        <f t="shared" si="16"/>
        <v>520837.41298050003</v>
      </c>
      <c r="AI28" s="65"/>
      <c r="AJ28" s="66"/>
      <c r="AK28" s="66"/>
    </row>
    <row r="29" spans="1:37" ht="15" x14ac:dyDescent="0.2">
      <c r="A29" s="132" t="s">
        <v>190</v>
      </c>
      <c r="B29" s="134" t="s">
        <v>191</v>
      </c>
      <c r="C29" s="138">
        <v>1.96</v>
      </c>
      <c r="D29" s="139">
        <v>0</v>
      </c>
      <c r="E29" s="139">
        <v>0.95656293237765</v>
      </c>
      <c r="F29" s="81">
        <f t="shared" si="2"/>
        <v>0</v>
      </c>
      <c r="G29" s="138">
        <v>7.0000000000000007E-2</v>
      </c>
      <c r="H29" s="81">
        <f t="shared" si="0"/>
        <v>0</v>
      </c>
      <c r="I29" s="81">
        <f t="shared" si="3"/>
        <v>0</v>
      </c>
      <c r="J29" s="152">
        <f>44428943*10^-3</f>
        <v>44428.942999999999</v>
      </c>
      <c r="K29" s="153"/>
      <c r="L29" s="154">
        <f>0.001*2643905.42</f>
        <v>2643.90542</v>
      </c>
      <c r="M29" s="81">
        <f t="shared" si="4"/>
        <v>39970.018077035107</v>
      </c>
      <c r="N29" s="81">
        <v>3.4000000000000002E-2</v>
      </c>
      <c r="O29" s="81">
        <f t="shared" si="17"/>
        <v>1358.9806146191938</v>
      </c>
      <c r="P29" s="81">
        <f t="shared" si="5"/>
        <v>2663.60200465362</v>
      </c>
      <c r="Q29" s="81">
        <f t="shared" si="6"/>
        <v>38611.037462415916</v>
      </c>
      <c r="R29" s="81">
        <v>0.08</v>
      </c>
      <c r="S29" s="81">
        <f t="shared" si="7"/>
        <v>3088.8829969932735</v>
      </c>
      <c r="T29" s="81">
        <f t="shared" si="8"/>
        <v>6054.2106741068164</v>
      </c>
      <c r="U29" s="81">
        <f t="shared" si="9"/>
        <v>35522.154465422645</v>
      </c>
      <c r="V29" s="81">
        <v>0.02</v>
      </c>
      <c r="W29" s="81">
        <f t="shared" si="18"/>
        <v>710.44308930845295</v>
      </c>
      <c r="X29" s="81">
        <f t="shared" si="10"/>
        <v>1392.4684550445677</v>
      </c>
      <c r="Y29" s="81">
        <f t="shared" si="11"/>
        <v>34811.711376114195</v>
      </c>
      <c r="Z29" s="138">
        <v>0.01</v>
      </c>
      <c r="AA29" s="81">
        <f t="shared" si="1"/>
        <v>348.11711376114198</v>
      </c>
      <c r="AB29" s="81">
        <f t="shared" si="12"/>
        <v>682.30954297183825</v>
      </c>
      <c r="AC29" s="81">
        <f t="shared" si="13"/>
        <v>5506.4238146820617</v>
      </c>
      <c r="AD29" s="81">
        <f t="shared" si="14"/>
        <v>10792.590676776841</v>
      </c>
      <c r="AE29" s="81">
        <f t="shared" si="15"/>
        <v>1.0792590676776841E-2</v>
      </c>
      <c r="AG29" s="107">
        <f t="shared" si="16"/>
        <v>81898.673656799991</v>
      </c>
      <c r="AI29" s="65"/>
      <c r="AJ29" s="66"/>
      <c r="AK29" s="66"/>
    </row>
    <row r="30" spans="1:37" ht="15" x14ac:dyDescent="0.2">
      <c r="A30" s="132" t="s">
        <v>190</v>
      </c>
      <c r="B30" s="134" t="s">
        <v>192</v>
      </c>
      <c r="C30" s="138">
        <v>0.34</v>
      </c>
      <c r="D30" s="139">
        <v>0</v>
      </c>
      <c r="E30" s="139">
        <v>0.78076999236230937</v>
      </c>
      <c r="F30" s="81">
        <f t="shared" si="2"/>
        <v>0</v>
      </c>
      <c r="G30" s="138">
        <v>7.0000000000000007E-2</v>
      </c>
      <c r="H30" s="81">
        <f t="shared" si="0"/>
        <v>0</v>
      </c>
      <c r="I30" s="81">
        <f t="shared" si="3"/>
        <v>0</v>
      </c>
      <c r="J30" s="152">
        <f>21651816.59*10^-3</f>
        <v>21651.816589999999</v>
      </c>
      <c r="K30" s="153"/>
      <c r="L30" s="154">
        <f>0.001*1557977</f>
        <v>1557.9770000000001</v>
      </c>
      <c r="M30" s="81">
        <f t="shared" si="4"/>
        <v>15688.666983213769</v>
      </c>
      <c r="N30" s="81">
        <v>3.4000000000000002E-2</v>
      </c>
      <c r="O30" s="81">
        <f t="shared" si="17"/>
        <v>533.41467742926818</v>
      </c>
      <c r="P30" s="81">
        <f t="shared" si="5"/>
        <v>181.36099032595121</v>
      </c>
      <c r="Q30" s="81">
        <f t="shared" si="6"/>
        <v>15155.252305784501</v>
      </c>
      <c r="R30" s="81">
        <v>0.08</v>
      </c>
      <c r="S30" s="81">
        <f t="shared" si="7"/>
        <v>1212.4201844627601</v>
      </c>
      <c r="T30" s="81">
        <f t="shared" si="8"/>
        <v>412.22286271733844</v>
      </c>
      <c r="U30" s="81">
        <f t="shared" si="9"/>
        <v>13942.83212132174</v>
      </c>
      <c r="V30" s="81">
        <v>0.02</v>
      </c>
      <c r="W30" s="81">
        <f t="shared" si="18"/>
        <v>278.8566424264348</v>
      </c>
      <c r="X30" s="81">
        <f t="shared" si="10"/>
        <v>94.811258424987841</v>
      </c>
      <c r="Y30" s="81">
        <f t="shared" si="11"/>
        <v>13663.975478895305</v>
      </c>
      <c r="Z30" s="138">
        <v>0.01</v>
      </c>
      <c r="AA30" s="81">
        <f t="shared" si="1"/>
        <v>136.63975478895304</v>
      </c>
      <c r="AB30" s="81">
        <f t="shared" si="12"/>
        <v>46.457516628244036</v>
      </c>
      <c r="AC30" s="81">
        <f t="shared" si="13"/>
        <v>2161.3312591074159</v>
      </c>
      <c r="AD30" s="81">
        <f t="shared" si="14"/>
        <v>734.85262809652158</v>
      </c>
      <c r="AE30" s="81">
        <f t="shared" si="15"/>
        <v>7.3485262809652155E-4</v>
      </c>
      <c r="AG30" s="107">
        <f t="shared" si="16"/>
        <v>6831.9054606</v>
      </c>
      <c r="AI30" s="65"/>
      <c r="AJ30" s="66"/>
      <c r="AK30" s="66"/>
    </row>
    <row r="31" spans="1:37" ht="15" x14ac:dyDescent="0.2">
      <c r="A31" s="132" t="s">
        <v>193</v>
      </c>
      <c r="B31" s="134" t="s">
        <v>194</v>
      </c>
      <c r="C31" s="138">
        <v>0.16</v>
      </c>
      <c r="D31" s="139">
        <v>0</v>
      </c>
      <c r="E31" s="139">
        <v>0.7323126918216285</v>
      </c>
      <c r="F31" s="81">
        <f t="shared" si="2"/>
        <v>0</v>
      </c>
      <c r="G31" s="138">
        <v>8.1500000000000003E-2</v>
      </c>
      <c r="H31" s="81">
        <f t="shared" si="0"/>
        <v>0</v>
      </c>
      <c r="I31" s="81">
        <f t="shared" si="3"/>
        <v>0</v>
      </c>
      <c r="J31" s="152">
        <f>10^-3*73754215</f>
        <v>73754.214999999997</v>
      </c>
      <c r="K31" s="153"/>
      <c r="L31" s="154">
        <f>0.001*1669222.74</f>
        <v>1669.2227399999999</v>
      </c>
      <c r="M31" s="81">
        <f t="shared" si="4"/>
        <v>52788.754721861857</v>
      </c>
      <c r="N31" s="81">
        <v>0.1211</v>
      </c>
      <c r="O31" s="81">
        <f t="shared" si="17"/>
        <v>6392.7181968174709</v>
      </c>
      <c r="P31" s="81">
        <f t="shared" si="5"/>
        <v>1022.8349114907953</v>
      </c>
      <c r="Q31" s="81">
        <f t="shared" si="6"/>
        <v>46396.036525044387</v>
      </c>
      <c r="R31" s="81">
        <v>0.1</v>
      </c>
      <c r="S31" s="81">
        <f t="shared" si="7"/>
        <v>4639.6036525044392</v>
      </c>
      <c r="T31" s="81">
        <f t="shared" si="8"/>
        <v>742.33658440071031</v>
      </c>
      <c r="U31" s="81">
        <f t="shared" si="9"/>
        <v>41756.432872539946</v>
      </c>
      <c r="V31" s="81">
        <v>0.10780000000000001</v>
      </c>
      <c r="W31" s="81">
        <f t="shared" si="18"/>
        <v>4501.3434636598067</v>
      </c>
      <c r="X31" s="81">
        <f t="shared" si="10"/>
        <v>720.21495418556913</v>
      </c>
      <c r="Y31" s="81">
        <f t="shared" si="11"/>
        <v>37255.089408880143</v>
      </c>
      <c r="Z31" s="138">
        <v>3.8800000000000001E-2</v>
      </c>
      <c r="AA31" s="81">
        <f t="shared" si="1"/>
        <v>1445.4974690645497</v>
      </c>
      <c r="AB31" s="81">
        <f t="shared" si="12"/>
        <v>231.27959505032797</v>
      </c>
      <c r="AC31" s="81">
        <f t="shared" si="13"/>
        <v>16979.162782046267</v>
      </c>
      <c r="AD31" s="81">
        <f t="shared" si="14"/>
        <v>2716.6660451274024</v>
      </c>
      <c r="AE31" s="81">
        <f t="shared" si="15"/>
        <v>2.7166660451274022E-3</v>
      </c>
      <c r="AG31" s="107">
        <f t="shared" si="16"/>
        <v>11533.5987616</v>
      </c>
      <c r="AI31" s="65"/>
      <c r="AJ31" s="66"/>
      <c r="AK31" s="66"/>
    </row>
    <row r="32" spans="1:37" x14ac:dyDescent="0.2">
      <c r="C32" s="139">
        <f>AVERAGE(C7:C31)</f>
        <v>3.682799999999999</v>
      </c>
      <c r="D32" s="81"/>
      <c r="E32" s="81"/>
      <c r="F32" s="81"/>
      <c r="G32" s="81"/>
      <c r="H32" s="81"/>
      <c r="I32" s="81"/>
      <c r="J32" s="158">
        <f>SUM(J7:J31)</f>
        <v>3198882.1632045559</v>
      </c>
      <c r="K32" s="159"/>
      <c r="L32" s="160">
        <f>SUM(L7:L31)</f>
        <v>464102.42077000008</v>
      </c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>
        <f>SUM(AC7:AC31)</f>
        <v>846373.46071270434</v>
      </c>
      <c r="AD32" s="81">
        <f>SUM(AD7:AD31)</f>
        <v>2445377.37096619</v>
      </c>
      <c r="AE32" s="81">
        <f t="shared" si="15"/>
        <v>2.4453773709661899</v>
      </c>
      <c r="AG32" s="107">
        <f>SUM(AG7:AG31)*10^-6</f>
        <v>13.566425630261406</v>
      </c>
      <c r="AH32" s="32" t="s">
        <v>551</v>
      </c>
      <c r="AI32" s="65"/>
      <c r="AJ32" s="65"/>
      <c r="AK32" s="65"/>
    </row>
    <row r="33" spans="1:37" x14ac:dyDescent="0.2">
      <c r="AC33" s="107">
        <f>AC32/5680000</f>
        <v>0.14900941209730711</v>
      </c>
      <c r="AG33" s="107">
        <f>SUM(AG22:AG28)*10^-6</f>
        <v>12.077024575323199</v>
      </c>
      <c r="AH33" s="32" t="s">
        <v>765</v>
      </c>
    </row>
    <row r="35" spans="1:37" x14ac:dyDescent="0.2">
      <c r="A35" s="32"/>
    </row>
    <row r="36" spans="1:37" x14ac:dyDescent="0.2">
      <c r="A36" s="142" t="s">
        <v>762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</row>
    <row r="38" spans="1:37" x14ac:dyDescent="0.2">
      <c r="J38" s="146" t="s">
        <v>767</v>
      </c>
      <c r="K38" s="147"/>
      <c r="L38" s="148"/>
    </row>
    <row r="39" spans="1:37" ht="16" x14ac:dyDescent="0.2">
      <c r="A39" s="31" t="s">
        <v>754</v>
      </c>
      <c r="B39" s="31" t="s">
        <v>753</v>
      </c>
      <c r="C39" s="116" t="s">
        <v>755</v>
      </c>
      <c r="D39" s="33" t="s">
        <v>756</v>
      </c>
      <c r="E39" s="33" t="s">
        <v>533</v>
      </c>
      <c r="F39" s="33" t="s">
        <v>738</v>
      </c>
      <c r="G39" s="33" t="s">
        <v>739</v>
      </c>
      <c r="H39" s="33" t="s">
        <v>757</v>
      </c>
      <c r="I39" s="33" t="s">
        <v>740</v>
      </c>
      <c r="J39" s="149" t="s">
        <v>760</v>
      </c>
      <c r="K39" s="150" t="s">
        <v>737</v>
      </c>
      <c r="L39" s="151" t="s">
        <v>729</v>
      </c>
      <c r="M39" s="33" t="s">
        <v>741</v>
      </c>
      <c r="N39" s="33" t="s">
        <v>739</v>
      </c>
      <c r="O39" s="33" t="s">
        <v>758</v>
      </c>
      <c r="P39" s="33" t="s">
        <v>742</v>
      </c>
      <c r="Q39" s="33" t="s">
        <v>743</v>
      </c>
      <c r="R39" s="33" t="s">
        <v>739</v>
      </c>
      <c r="S39" s="33" t="s">
        <v>744</v>
      </c>
      <c r="T39" s="33" t="s">
        <v>745</v>
      </c>
      <c r="U39" s="33" t="s">
        <v>752</v>
      </c>
      <c r="V39" s="33" t="s">
        <v>739</v>
      </c>
      <c r="W39" s="33" t="s">
        <v>750</v>
      </c>
      <c r="X39" s="33" t="s">
        <v>751</v>
      </c>
      <c r="Y39" s="33" t="s">
        <v>749</v>
      </c>
      <c r="Z39" s="33" t="s">
        <v>739</v>
      </c>
      <c r="AA39" s="33" t="s">
        <v>747</v>
      </c>
      <c r="AB39" s="33" t="s">
        <v>748</v>
      </c>
      <c r="AC39" s="33" t="s">
        <v>746</v>
      </c>
      <c r="AD39" s="33" t="s">
        <v>759</v>
      </c>
      <c r="AE39" s="33" t="s">
        <v>224</v>
      </c>
      <c r="AF39" s="32"/>
      <c r="AG39" s="33" t="s">
        <v>764</v>
      </c>
      <c r="AI39" s="116"/>
      <c r="AJ39" s="116"/>
      <c r="AK39" s="116"/>
    </row>
    <row r="40" spans="1:37" ht="15" x14ac:dyDescent="0.2">
      <c r="A40" s="132" t="s">
        <v>195</v>
      </c>
      <c r="B40" s="134" t="s">
        <v>196</v>
      </c>
      <c r="C40" s="138">
        <v>0.75</v>
      </c>
      <c r="D40" s="139">
        <v>0</v>
      </c>
      <c r="E40" s="139">
        <v>0.36795183512793794</v>
      </c>
      <c r="F40" s="81">
        <f>D40*E40</f>
        <v>0</v>
      </c>
      <c r="G40" s="81">
        <v>0.06</v>
      </c>
      <c r="H40" s="81">
        <f t="shared" ref="H40:H64" si="19">F40*G40</f>
        <v>0</v>
      </c>
      <c r="I40" s="81">
        <f>H40*C40</f>
        <v>0</v>
      </c>
      <c r="J40" s="152">
        <f>J7/5.68*6.091</f>
        <v>257.40444823415498</v>
      </c>
      <c r="K40" s="153"/>
      <c r="L40" s="154">
        <f>L7/5.68*6.091</f>
        <v>110.4855819524648</v>
      </c>
      <c r="M40" s="81">
        <f>(F40-H40)+(J40*E40)+(K40*E40)-(L40*E40)</f>
        <v>54.059066463264024</v>
      </c>
      <c r="N40" s="81">
        <v>6.59E-2</v>
      </c>
      <c r="O40" s="81">
        <f>M40*N40</f>
        <v>3.5624924799290993</v>
      </c>
      <c r="P40" s="81">
        <f>O40*C40</f>
        <v>2.6718693599468244</v>
      </c>
      <c r="Q40" s="81">
        <f>M40-O40</f>
        <v>50.496573983334926</v>
      </c>
      <c r="R40" s="81">
        <v>7.0000000000000007E-2</v>
      </c>
      <c r="S40" s="81">
        <f>Q40*R40</f>
        <v>3.5347601788334453</v>
      </c>
      <c r="T40" s="81">
        <f>S40*C40</f>
        <v>2.6510701341250842</v>
      </c>
      <c r="U40" s="81">
        <f>Q40-S40</f>
        <v>46.961813804501482</v>
      </c>
      <c r="V40" s="81">
        <v>2.98E-2</v>
      </c>
      <c r="W40" s="81">
        <f>U40*V40</f>
        <v>1.3994620513741443</v>
      </c>
      <c r="X40" s="81">
        <f>W40*C40</f>
        <v>1.0495965385306083</v>
      </c>
      <c r="Y40" s="81">
        <f>U40-W40</f>
        <v>45.562351753127338</v>
      </c>
      <c r="Z40" s="138">
        <v>0.03</v>
      </c>
      <c r="AA40" s="81">
        <f t="shared" ref="AA40:AA64" si="20">Y40*Z40</f>
        <v>1.3668705525938201</v>
      </c>
      <c r="AB40" s="81">
        <f>AA40*C40</f>
        <v>1.025152914445365</v>
      </c>
      <c r="AC40" s="81">
        <f>H40+O40+S40+W40+AA40</f>
        <v>9.8635852627305081</v>
      </c>
      <c r="AD40" s="81">
        <f>I40+P40+T40+X40+AB40</f>
        <v>7.3976889470478815</v>
      </c>
      <c r="AE40" s="81">
        <f>AD40*10^-6</f>
        <v>7.3976889470478812E-6</v>
      </c>
      <c r="AG40" s="107">
        <f>(J40-L40)*C40</f>
        <v>110.18914971126765</v>
      </c>
      <c r="AI40" s="65"/>
      <c r="AJ40" s="66"/>
      <c r="AK40" s="66"/>
    </row>
    <row r="41" spans="1:37" ht="15" x14ac:dyDescent="0.2">
      <c r="A41" s="132" t="s">
        <v>195</v>
      </c>
      <c r="B41" s="134" t="s">
        <v>197</v>
      </c>
      <c r="C41" s="138">
        <v>1.73</v>
      </c>
      <c r="D41" s="139">
        <v>0</v>
      </c>
      <c r="E41" s="139">
        <v>0.31068538996325501</v>
      </c>
      <c r="F41" s="81">
        <f t="shared" ref="F41:F64" si="21">D41*E41</f>
        <v>0</v>
      </c>
      <c r="G41" s="81">
        <v>0.06</v>
      </c>
      <c r="H41" s="81">
        <f t="shared" si="19"/>
        <v>0</v>
      </c>
      <c r="I41" s="81">
        <f t="shared" ref="I41:I64" si="22">H41*C41</f>
        <v>0</v>
      </c>
      <c r="J41" s="152">
        <f t="shared" ref="J41:J64" si="23">J8/5.68*6.091</f>
        <v>22493.588589743104</v>
      </c>
      <c r="K41" s="153"/>
      <c r="L41" s="154">
        <f t="shared" ref="L41:L64" si="24">L8/5.68*6.091</f>
        <v>1113.6159965264087</v>
      </c>
      <c r="M41" s="81">
        <f t="shared" ref="M41:M64" si="25">(F41-H41)+(J41*E41)+(K41*E41)-(L41*E41)</f>
        <v>6642.4451225272333</v>
      </c>
      <c r="N41" s="81">
        <v>6.59E-2</v>
      </c>
      <c r="O41" s="81">
        <f t="shared" ref="O41:O64" si="26">M41*N41</f>
        <v>437.73713357454466</v>
      </c>
      <c r="P41" s="81">
        <f t="shared" ref="P41:P64" si="27">O41*C41</f>
        <v>757.28524108396221</v>
      </c>
      <c r="Q41" s="81">
        <f t="shared" ref="Q41:Q64" si="28">M41-O41</f>
        <v>6204.7079889526885</v>
      </c>
      <c r="R41" s="81">
        <v>7.0000000000000007E-2</v>
      </c>
      <c r="S41" s="81">
        <f t="shared" ref="S41:S64" si="29">Q41*R41</f>
        <v>434.32955922668822</v>
      </c>
      <c r="T41" s="81">
        <f t="shared" ref="T41:T64" si="30">S41*C41</f>
        <v>751.39013746217063</v>
      </c>
      <c r="U41" s="81">
        <f t="shared" ref="U41:U64" si="31">Q41-S41</f>
        <v>5770.3784297259999</v>
      </c>
      <c r="V41" s="81">
        <v>2.98E-2</v>
      </c>
      <c r="W41" s="81">
        <f t="shared" ref="W41:W64" si="32">U41*V41</f>
        <v>171.9572772058348</v>
      </c>
      <c r="X41" s="81">
        <f t="shared" ref="X41:X64" si="33">W41*C41</f>
        <v>297.48608956609422</v>
      </c>
      <c r="Y41" s="81">
        <f t="shared" ref="Y41:Y53" si="34">U41-W41</f>
        <v>5598.4211525201654</v>
      </c>
      <c r="Z41" s="138">
        <v>0.03</v>
      </c>
      <c r="AA41" s="81">
        <f t="shared" si="20"/>
        <v>167.95263457560495</v>
      </c>
      <c r="AB41" s="81">
        <f t="shared" ref="AB41:AB64" si="35">AA41*C41</f>
        <v>290.55805781579653</v>
      </c>
      <c r="AC41" s="81">
        <f t="shared" ref="AC41:AC64" si="36">H41+O41+S41+W41+AA41</f>
        <v>1211.9766045826725</v>
      </c>
      <c r="AD41" s="81">
        <f t="shared" ref="AD41:AD64" si="37">I41+P41+T41+X41+AB41</f>
        <v>2096.7195259280238</v>
      </c>
      <c r="AE41" s="81">
        <f t="shared" ref="AE41:AE65" si="38">AD41*10^-6</f>
        <v>2.0967195259280237E-3</v>
      </c>
      <c r="AG41" s="107">
        <f t="shared" ref="AG41:AG64" si="39">(J41-L41)*C41</f>
        <v>36987.352586264882</v>
      </c>
      <c r="AI41" s="65"/>
      <c r="AJ41" s="66"/>
      <c r="AK41" s="66"/>
    </row>
    <row r="42" spans="1:37" ht="15" x14ac:dyDescent="0.2">
      <c r="A42" s="132" t="s">
        <v>195</v>
      </c>
      <c r="B42" s="134" t="s">
        <v>198</v>
      </c>
      <c r="C42" s="138">
        <v>0.93</v>
      </c>
      <c r="D42" s="139">
        <v>0</v>
      </c>
      <c r="E42" s="139">
        <v>0.93365991364995016</v>
      </c>
      <c r="F42" s="81">
        <f t="shared" si="21"/>
        <v>0</v>
      </c>
      <c r="G42" s="81">
        <v>0.06</v>
      </c>
      <c r="H42" s="81">
        <f t="shared" si="19"/>
        <v>0</v>
      </c>
      <c r="I42" s="81">
        <f t="shared" si="22"/>
        <v>0</v>
      </c>
      <c r="J42" s="152">
        <f t="shared" si="23"/>
        <v>267.18566473453546</v>
      </c>
      <c r="K42" s="153"/>
      <c r="L42" s="154">
        <f t="shared" si="24"/>
        <v>15.506313380281693</v>
      </c>
      <c r="M42" s="81">
        <f t="shared" si="25"/>
        <v>234.98292145288806</v>
      </c>
      <c r="N42" s="81">
        <v>6.59E-2</v>
      </c>
      <c r="O42" s="81">
        <f t="shared" si="26"/>
        <v>15.485374523745323</v>
      </c>
      <c r="P42" s="81">
        <f t="shared" si="27"/>
        <v>14.40139830708315</v>
      </c>
      <c r="Q42" s="81">
        <f t="shared" si="28"/>
        <v>219.49754692914274</v>
      </c>
      <c r="R42" s="81">
        <v>7.0000000000000007E-2</v>
      </c>
      <c r="S42" s="81">
        <f t="shared" si="29"/>
        <v>15.364828285039993</v>
      </c>
      <c r="T42" s="81">
        <f t="shared" si="30"/>
        <v>14.289290305087194</v>
      </c>
      <c r="U42" s="81">
        <f t="shared" si="31"/>
        <v>204.13271864410274</v>
      </c>
      <c r="V42" s="81">
        <v>2.98E-2</v>
      </c>
      <c r="W42" s="81">
        <f t="shared" si="32"/>
        <v>6.0831550155942615</v>
      </c>
      <c r="X42" s="81">
        <f t="shared" si="33"/>
        <v>5.6573341645026636</v>
      </c>
      <c r="Y42" s="81">
        <f t="shared" si="34"/>
        <v>198.04956362850848</v>
      </c>
      <c r="Z42" s="138">
        <v>0.03</v>
      </c>
      <c r="AA42" s="81">
        <f t="shared" si="20"/>
        <v>5.9414869088552544</v>
      </c>
      <c r="AB42" s="81">
        <f t="shared" si="35"/>
        <v>5.5255828252353867</v>
      </c>
      <c r="AC42" s="81">
        <f t="shared" si="36"/>
        <v>42.874844733234831</v>
      </c>
      <c r="AD42" s="81">
        <f t="shared" si="37"/>
        <v>39.873605601908395</v>
      </c>
      <c r="AE42" s="81">
        <f t="shared" si="38"/>
        <v>3.9873605601908393E-5</v>
      </c>
      <c r="AG42" s="107">
        <f t="shared" si="39"/>
        <v>234.06179675945603</v>
      </c>
      <c r="AI42" s="65"/>
      <c r="AJ42" s="66"/>
      <c r="AK42" s="66"/>
    </row>
    <row r="43" spans="1:37" ht="15" x14ac:dyDescent="0.2">
      <c r="A43" s="132" t="s">
        <v>195</v>
      </c>
      <c r="B43" s="134" t="s">
        <v>199</v>
      </c>
      <c r="C43" s="138">
        <v>0.93</v>
      </c>
      <c r="D43" s="139">
        <v>0</v>
      </c>
      <c r="E43" s="139">
        <v>0.83510638297872342</v>
      </c>
      <c r="F43" s="81">
        <f t="shared" si="21"/>
        <v>0</v>
      </c>
      <c r="G43" s="81">
        <v>0.06</v>
      </c>
      <c r="H43" s="81">
        <f t="shared" si="19"/>
        <v>0</v>
      </c>
      <c r="I43" s="81">
        <f t="shared" si="22"/>
        <v>0</v>
      </c>
      <c r="J43" s="152">
        <f t="shared" si="23"/>
        <v>3156.5130110792256</v>
      </c>
      <c r="K43" s="153"/>
      <c r="L43" s="154">
        <f t="shared" si="24"/>
        <v>284.05036417429574</v>
      </c>
      <c r="M43" s="81">
        <f t="shared" si="25"/>
        <v>2398.8118912982659</v>
      </c>
      <c r="N43" s="81">
        <v>6.59E-2</v>
      </c>
      <c r="O43" s="81">
        <f t="shared" si="26"/>
        <v>158.08170363655572</v>
      </c>
      <c r="P43" s="81">
        <f t="shared" si="27"/>
        <v>147.01598438199682</v>
      </c>
      <c r="Q43" s="81">
        <f t="shared" si="28"/>
        <v>2240.7301876617103</v>
      </c>
      <c r="R43" s="81">
        <v>7.0000000000000007E-2</v>
      </c>
      <c r="S43" s="81">
        <f t="shared" si="29"/>
        <v>156.85111313631973</v>
      </c>
      <c r="T43" s="81">
        <f t="shared" si="30"/>
        <v>145.87153521677735</v>
      </c>
      <c r="U43" s="81">
        <f t="shared" si="31"/>
        <v>2083.8790745253905</v>
      </c>
      <c r="V43" s="81">
        <v>2.98E-2</v>
      </c>
      <c r="W43" s="81">
        <f t="shared" si="32"/>
        <v>62.099596420856635</v>
      </c>
      <c r="X43" s="81">
        <f t="shared" si="33"/>
        <v>57.752624671396674</v>
      </c>
      <c r="Y43" s="81">
        <f t="shared" si="34"/>
        <v>2021.7794781045338</v>
      </c>
      <c r="Z43" s="138">
        <v>0.03</v>
      </c>
      <c r="AA43" s="81">
        <f t="shared" si="20"/>
        <v>60.653384343136011</v>
      </c>
      <c r="AB43" s="81">
        <f t="shared" si="35"/>
        <v>56.407647439116495</v>
      </c>
      <c r="AC43" s="81">
        <f t="shared" si="36"/>
        <v>437.68579753686805</v>
      </c>
      <c r="AD43" s="81">
        <f t="shared" si="37"/>
        <v>407.04779170928731</v>
      </c>
      <c r="AE43" s="81">
        <f t="shared" si="38"/>
        <v>4.0704779170928728E-4</v>
      </c>
      <c r="AG43" s="107">
        <f t="shared" si="39"/>
        <v>2671.3902616215851</v>
      </c>
      <c r="AI43" s="65"/>
      <c r="AJ43" s="66"/>
      <c r="AK43" s="66"/>
    </row>
    <row r="44" spans="1:37" ht="15" x14ac:dyDescent="0.2">
      <c r="A44" s="132" t="s">
        <v>195</v>
      </c>
      <c r="B44" s="134" t="s">
        <v>200</v>
      </c>
      <c r="C44" s="138">
        <v>1.91</v>
      </c>
      <c r="D44" s="139">
        <v>0</v>
      </c>
      <c r="E44" s="139">
        <v>0.64532019704433496</v>
      </c>
      <c r="F44" s="81">
        <f t="shared" si="21"/>
        <v>0</v>
      </c>
      <c r="G44" s="81">
        <v>0.06</v>
      </c>
      <c r="H44" s="81">
        <f t="shared" si="19"/>
        <v>0</v>
      </c>
      <c r="I44" s="81">
        <f t="shared" si="22"/>
        <v>0</v>
      </c>
      <c r="J44" s="152">
        <f t="shared" si="23"/>
        <v>425101.92767482216</v>
      </c>
      <c r="K44" s="153"/>
      <c r="L44" s="154">
        <f t="shared" si="24"/>
        <v>107663.1876794384</v>
      </c>
      <c r="M44" s="81">
        <f t="shared" si="25"/>
        <v>204849.63024332648</v>
      </c>
      <c r="N44" s="81">
        <v>6.59E-2</v>
      </c>
      <c r="O44" s="81">
        <f t="shared" si="26"/>
        <v>13499.590633035215</v>
      </c>
      <c r="P44" s="81">
        <f t="shared" si="27"/>
        <v>25784.218109097259</v>
      </c>
      <c r="Q44" s="81">
        <f t="shared" si="28"/>
        <v>191350.03961029125</v>
      </c>
      <c r="R44" s="81">
        <v>7.0000000000000007E-2</v>
      </c>
      <c r="S44" s="81">
        <f t="shared" si="29"/>
        <v>13394.502772720389</v>
      </c>
      <c r="T44" s="81">
        <f t="shared" si="30"/>
        <v>25583.500295895941</v>
      </c>
      <c r="U44" s="81">
        <f>Q44-S44</f>
        <v>177955.53683757086</v>
      </c>
      <c r="V44" s="81">
        <v>2.98E-2</v>
      </c>
      <c r="W44" s="81">
        <f t="shared" si="32"/>
        <v>5303.0749977596115</v>
      </c>
      <c r="X44" s="81">
        <f t="shared" si="33"/>
        <v>10128.873245720857</v>
      </c>
      <c r="Y44" s="81">
        <f t="shared" si="34"/>
        <v>172652.46183981127</v>
      </c>
      <c r="Z44" s="138">
        <v>0.03</v>
      </c>
      <c r="AA44" s="81">
        <f t="shared" si="20"/>
        <v>5179.5738551943377</v>
      </c>
      <c r="AB44" s="81">
        <f t="shared" si="35"/>
        <v>9892.9860634211855</v>
      </c>
      <c r="AC44" s="81">
        <f t="shared" si="36"/>
        <v>37376.74225870955</v>
      </c>
      <c r="AD44" s="81">
        <f t="shared" si="37"/>
        <v>71389.57771413523</v>
      </c>
      <c r="AE44" s="81">
        <f t="shared" si="38"/>
        <v>7.1389577714135233E-2</v>
      </c>
      <c r="AG44" s="107">
        <f t="shared" si="39"/>
        <v>606307.99339118297</v>
      </c>
      <c r="AI44" s="65"/>
      <c r="AJ44" s="66"/>
      <c r="AK44" s="66"/>
    </row>
    <row r="45" spans="1:37" ht="15" x14ac:dyDescent="0.2">
      <c r="A45" s="132" t="s">
        <v>195</v>
      </c>
      <c r="B45" s="134" t="s">
        <v>201</v>
      </c>
      <c r="C45" s="138">
        <v>0.7</v>
      </c>
      <c r="D45" s="139">
        <v>0</v>
      </c>
      <c r="E45" s="139">
        <v>0.83836157630571984</v>
      </c>
      <c r="F45" s="81">
        <f t="shared" si="21"/>
        <v>0</v>
      </c>
      <c r="G45" s="81">
        <v>0.06</v>
      </c>
      <c r="H45" s="81">
        <f t="shared" si="19"/>
        <v>0</v>
      </c>
      <c r="I45" s="81">
        <f t="shared" si="22"/>
        <v>0</v>
      </c>
      <c r="J45" s="152">
        <f t="shared" si="23"/>
        <v>1072.3591549295775</v>
      </c>
      <c r="K45" s="153"/>
      <c r="L45" s="154">
        <f t="shared" si="24"/>
        <v>5.361795774647888E-2</v>
      </c>
      <c r="M45" s="81">
        <f t="shared" si="25"/>
        <v>898.97976025705555</v>
      </c>
      <c r="N45" s="81">
        <v>6.59E-2</v>
      </c>
      <c r="O45" s="81">
        <f t="shared" si="26"/>
        <v>59.242766200939961</v>
      </c>
      <c r="P45" s="81">
        <f t="shared" si="27"/>
        <v>41.469936340657974</v>
      </c>
      <c r="Q45" s="81">
        <f t="shared" si="28"/>
        <v>839.73699405611558</v>
      </c>
      <c r="R45" s="81">
        <v>7.0000000000000007E-2</v>
      </c>
      <c r="S45" s="81">
        <f t="shared" si="29"/>
        <v>58.781589583928096</v>
      </c>
      <c r="T45" s="81">
        <f t="shared" si="30"/>
        <v>41.147112708749667</v>
      </c>
      <c r="U45" s="81">
        <f t="shared" si="31"/>
        <v>780.95540447218752</v>
      </c>
      <c r="V45" s="81">
        <v>2.98E-2</v>
      </c>
      <c r="W45" s="81">
        <f t="shared" si="32"/>
        <v>23.27247105327119</v>
      </c>
      <c r="X45" s="81">
        <f t="shared" si="33"/>
        <v>16.290729737289833</v>
      </c>
      <c r="Y45" s="81">
        <f t="shared" si="34"/>
        <v>757.68293341891638</v>
      </c>
      <c r="Z45" s="138">
        <v>0.03</v>
      </c>
      <c r="AA45" s="81">
        <f t="shared" si="20"/>
        <v>22.73048800256749</v>
      </c>
      <c r="AB45" s="81">
        <f t="shared" si="35"/>
        <v>15.911341601797242</v>
      </c>
      <c r="AC45" s="81">
        <f t="shared" si="36"/>
        <v>164.02731484070671</v>
      </c>
      <c r="AD45" s="81">
        <f t="shared" si="37"/>
        <v>114.81912038849472</v>
      </c>
      <c r="AE45" s="81">
        <f t="shared" si="38"/>
        <v>1.1481912038849472E-4</v>
      </c>
      <c r="AG45" s="107">
        <f t="shared" si="39"/>
        <v>750.61387588028174</v>
      </c>
      <c r="AI45" s="65"/>
      <c r="AJ45" s="66"/>
      <c r="AK45" s="66"/>
    </row>
    <row r="46" spans="1:37" ht="15" x14ac:dyDescent="0.2">
      <c r="A46" s="132" t="s">
        <v>195</v>
      </c>
      <c r="B46" s="134" t="s">
        <v>202</v>
      </c>
      <c r="C46" s="138">
        <v>0.93</v>
      </c>
      <c r="D46" s="139">
        <v>0</v>
      </c>
      <c r="E46" s="139">
        <v>0.125</v>
      </c>
      <c r="F46" s="81">
        <f t="shared" si="21"/>
        <v>0</v>
      </c>
      <c r="G46" s="81">
        <v>0.06</v>
      </c>
      <c r="H46" s="81">
        <f t="shared" si="19"/>
        <v>0</v>
      </c>
      <c r="I46" s="81">
        <f t="shared" si="22"/>
        <v>0</v>
      </c>
      <c r="J46" s="152">
        <f t="shared" si="23"/>
        <v>5.45511246830986</v>
      </c>
      <c r="K46" s="153"/>
      <c r="L46" s="154">
        <f t="shared" si="24"/>
        <v>3.3733738116197189</v>
      </c>
      <c r="M46" s="81">
        <f t="shared" si="25"/>
        <v>0.26021733208626763</v>
      </c>
      <c r="N46" s="81">
        <v>6.59E-2</v>
      </c>
      <c r="O46" s="81">
        <f t="shared" si="26"/>
        <v>1.7148322184485035E-2</v>
      </c>
      <c r="P46" s="81">
        <f t="shared" si="27"/>
        <v>1.5947939631571085E-2</v>
      </c>
      <c r="Q46" s="81">
        <f t="shared" si="28"/>
        <v>0.2430690099017826</v>
      </c>
      <c r="R46" s="81">
        <v>7.0000000000000007E-2</v>
      </c>
      <c r="S46" s="81">
        <f t="shared" si="29"/>
        <v>1.7014830693124785E-2</v>
      </c>
      <c r="T46" s="81">
        <f t="shared" si="30"/>
        <v>1.5823792544606051E-2</v>
      </c>
      <c r="U46" s="81">
        <f t="shared" si="31"/>
        <v>0.22605417920865781</v>
      </c>
      <c r="V46" s="81">
        <v>2.98E-2</v>
      </c>
      <c r="W46" s="81">
        <f t="shared" si="32"/>
        <v>6.7364145404180025E-3</v>
      </c>
      <c r="X46" s="81">
        <f t="shared" si="33"/>
        <v>6.2648655225887428E-3</v>
      </c>
      <c r="Y46" s="81">
        <f t="shared" si="34"/>
        <v>0.2193177646682398</v>
      </c>
      <c r="Z46" s="138">
        <v>0.03</v>
      </c>
      <c r="AA46" s="81">
        <f t="shared" si="20"/>
        <v>6.5795329400471936E-3</v>
      </c>
      <c r="AB46" s="81">
        <f t="shared" si="35"/>
        <v>6.1189656342438906E-3</v>
      </c>
      <c r="AC46" s="81">
        <f t="shared" si="36"/>
        <v>4.7479100358075017E-2</v>
      </c>
      <c r="AD46" s="81">
        <f t="shared" si="37"/>
        <v>4.4155563333009774E-2</v>
      </c>
      <c r="AE46" s="81">
        <f t="shared" si="38"/>
        <v>4.4155563333009771E-8</v>
      </c>
      <c r="AG46" s="107">
        <f t="shared" si="39"/>
        <v>1.9360169507218312</v>
      </c>
      <c r="AI46" s="65"/>
      <c r="AJ46" s="66"/>
      <c r="AK46" s="66"/>
    </row>
    <row r="47" spans="1:37" ht="15" x14ac:dyDescent="0.2">
      <c r="A47" s="132" t="s">
        <v>195</v>
      </c>
      <c r="B47" s="134" t="s">
        <v>203</v>
      </c>
      <c r="C47" s="138">
        <v>0.46</v>
      </c>
      <c r="D47" s="139">
        <v>0</v>
      </c>
      <c r="E47" s="139">
        <v>0.91825351029044044</v>
      </c>
      <c r="F47" s="81">
        <f t="shared" si="21"/>
        <v>0</v>
      </c>
      <c r="G47" s="81">
        <v>0.06</v>
      </c>
      <c r="H47" s="81">
        <f t="shared" si="19"/>
        <v>0</v>
      </c>
      <c r="I47" s="81">
        <f t="shared" si="22"/>
        <v>0</v>
      </c>
      <c r="J47" s="152">
        <f t="shared" si="23"/>
        <v>263279.09622513916</v>
      </c>
      <c r="K47" s="153"/>
      <c r="L47" s="154">
        <f t="shared" si="24"/>
        <v>10.843416961267605</v>
      </c>
      <c r="M47" s="81">
        <f t="shared" si="25"/>
        <v>241746.99728914045</v>
      </c>
      <c r="N47" s="81">
        <v>6.59E-2</v>
      </c>
      <c r="O47" s="81">
        <f t="shared" si="26"/>
        <v>15931.127121354355</v>
      </c>
      <c r="P47" s="81">
        <f t="shared" si="27"/>
        <v>7328.3184758230036</v>
      </c>
      <c r="Q47" s="81">
        <f t="shared" si="28"/>
        <v>225815.87016778608</v>
      </c>
      <c r="R47" s="81">
        <v>7.0000000000000007E-2</v>
      </c>
      <c r="S47" s="81">
        <f t="shared" si="29"/>
        <v>15807.110911745027</v>
      </c>
      <c r="T47" s="81">
        <f t="shared" si="30"/>
        <v>7271.2710194027131</v>
      </c>
      <c r="U47" s="81">
        <f t="shared" si="31"/>
        <v>210008.75925604106</v>
      </c>
      <c r="V47" s="81">
        <v>2.98E-2</v>
      </c>
      <c r="W47" s="81">
        <f t="shared" si="32"/>
        <v>6258.2610258300238</v>
      </c>
      <c r="X47" s="81">
        <f t="shared" si="33"/>
        <v>2878.8000718818112</v>
      </c>
      <c r="Y47" s="81">
        <f t="shared" si="34"/>
        <v>203750.49823021103</v>
      </c>
      <c r="Z47" s="138">
        <v>0.03</v>
      </c>
      <c r="AA47" s="81">
        <f t="shared" si="20"/>
        <v>6112.5149469063308</v>
      </c>
      <c r="AB47" s="81">
        <f t="shared" si="35"/>
        <v>2811.7568755769121</v>
      </c>
      <c r="AC47" s="81">
        <f t="shared" si="36"/>
        <v>44109.014005835743</v>
      </c>
      <c r="AD47" s="81">
        <f t="shared" si="37"/>
        <v>20290.146442684443</v>
      </c>
      <c r="AE47" s="81">
        <f t="shared" si="38"/>
        <v>2.0290146442684443E-2</v>
      </c>
      <c r="AG47" s="107">
        <f t="shared" si="39"/>
        <v>121103.39629176183</v>
      </c>
      <c r="AI47" s="65"/>
      <c r="AJ47" s="66"/>
      <c r="AK47" s="66"/>
    </row>
    <row r="48" spans="1:37" x14ac:dyDescent="0.2">
      <c r="A48" s="132" t="s">
        <v>195</v>
      </c>
      <c r="B48" s="132" t="s">
        <v>204</v>
      </c>
      <c r="C48" s="138">
        <v>0.93</v>
      </c>
      <c r="D48" s="139">
        <v>0</v>
      </c>
      <c r="E48" s="139">
        <v>0.89187383204031934</v>
      </c>
      <c r="F48" s="81">
        <f t="shared" si="21"/>
        <v>0</v>
      </c>
      <c r="G48" s="81">
        <v>0.06</v>
      </c>
      <c r="H48" s="81">
        <f t="shared" si="19"/>
        <v>0</v>
      </c>
      <c r="I48" s="81">
        <f t="shared" si="22"/>
        <v>0</v>
      </c>
      <c r="J48" s="152">
        <f t="shared" si="23"/>
        <v>4711.1093970827469</v>
      </c>
      <c r="K48" s="153"/>
      <c r="L48" s="154">
        <f t="shared" si="24"/>
        <v>277.92378329753524</v>
      </c>
      <c r="M48" s="81">
        <f t="shared" si="25"/>
        <v>3953.8422415126315</v>
      </c>
      <c r="N48" s="81">
        <v>6.59E-2</v>
      </c>
      <c r="O48" s="81">
        <f t="shared" si="26"/>
        <v>260.5582037156824</v>
      </c>
      <c r="P48" s="81">
        <f t="shared" si="27"/>
        <v>242.31912945558463</v>
      </c>
      <c r="Q48" s="81">
        <f t="shared" si="28"/>
        <v>3693.2840377969492</v>
      </c>
      <c r="R48" s="81">
        <v>7.0000000000000007E-2</v>
      </c>
      <c r="S48" s="81">
        <f t="shared" si="29"/>
        <v>258.52988264578647</v>
      </c>
      <c r="T48" s="81">
        <f t="shared" si="30"/>
        <v>240.43279086058143</v>
      </c>
      <c r="U48" s="81">
        <f t="shared" si="31"/>
        <v>3434.7541551511626</v>
      </c>
      <c r="V48" s="81">
        <v>2.98E-2</v>
      </c>
      <c r="W48" s="81">
        <f t="shared" si="32"/>
        <v>102.35567382350465</v>
      </c>
      <c r="X48" s="81">
        <f t="shared" si="33"/>
        <v>95.190776655859324</v>
      </c>
      <c r="Y48" s="81">
        <f t="shared" si="34"/>
        <v>3332.3984813276579</v>
      </c>
      <c r="Z48" s="138">
        <v>0.03</v>
      </c>
      <c r="AA48" s="81">
        <f t="shared" si="20"/>
        <v>99.97195443982973</v>
      </c>
      <c r="AB48" s="81">
        <f t="shared" si="35"/>
        <v>92.973917629041651</v>
      </c>
      <c r="AC48" s="81">
        <f t="shared" si="36"/>
        <v>721.41571462480317</v>
      </c>
      <c r="AD48" s="81">
        <f t="shared" si="37"/>
        <v>670.91661460106707</v>
      </c>
      <c r="AE48" s="81">
        <f t="shared" si="38"/>
        <v>6.70916614601067E-4</v>
      </c>
      <c r="AG48" s="107">
        <f t="shared" si="39"/>
        <v>4122.8626208202477</v>
      </c>
      <c r="AI48" s="65"/>
      <c r="AJ48" s="65"/>
      <c r="AK48" s="66"/>
    </row>
    <row r="49" spans="1:37" ht="15" x14ac:dyDescent="0.2">
      <c r="A49" s="132" t="s">
        <v>205</v>
      </c>
      <c r="B49" s="134" t="s">
        <v>206</v>
      </c>
      <c r="C49" s="138">
        <v>0.34</v>
      </c>
      <c r="D49" s="139">
        <v>0</v>
      </c>
      <c r="E49" s="139">
        <v>1</v>
      </c>
      <c r="F49" s="81">
        <f t="shared" si="21"/>
        <v>0</v>
      </c>
      <c r="G49" s="81">
        <v>8.7099999999999997E-2</v>
      </c>
      <c r="H49" s="81">
        <f t="shared" si="19"/>
        <v>0</v>
      </c>
      <c r="I49" s="81">
        <f t="shared" si="22"/>
        <v>0</v>
      </c>
      <c r="J49" s="152">
        <f t="shared" si="23"/>
        <v>49575.638787500007</v>
      </c>
      <c r="K49" s="153"/>
      <c r="L49" s="154">
        <f t="shared" si="24"/>
        <v>4246.3813996478884</v>
      </c>
      <c r="M49" s="81">
        <f t="shared" si="25"/>
        <v>45329.257387852122</v>
      </c>
      <c r="N49" s="81">
        <v>9.8699999999999996E-2</v>
      </c>
      <c r="O49" s="81">
        <f t="shared" si="26"/>
        <v>4473.9977041810043</v>
      </c>
      <c r="P49" s="81">
        <f t="shared" si="27"/>
        <v>1521.1592194215416</v>
      </c>
      <c r="Q49" s="81">
        <f t="shared" si="28"/>
        <v>40855.259683671116</v>
      </c>
      <c r="R49" s="81">
        <v>0.25</v>
      </c>
      <c r="S49" s="81">
        <f t="shared" si="29"/>
        <v>10213.814920917779</v>
      </c>
      <c r="T49" s="81">
        <f t="shared" si="30"/>
        <v>3472.697073112045</v>
      </c>
      <c r="U49" s="81">
        <f t="shared" si="31"/>
        <v>30641.444762753337</v>
      </c>
      <c r="V49" s="81">
        <v>0.12959999999999999</v>
      </c>
      <c r="W49" s="81">
        <f t="shared" si="32"/>
        <v>3971.1312412528323</v>
      </c>
      <c r="X49" s="81">
        <f t="shared" si="33"/>
        <v>1350.1846220259631</v>
      </c>
      <c r="Y49" s="81">
        <f t="shared" si="34"/>
        <v>26670.313521500506</v>
      </c>
      <c r="Z49" s="138">
        <v>0.18160000000000001</v>
      </c>
      <c r="AA49" s="81">
        <f t="shared" si="20"/>
        <v>4843.3289355044926</v>
      </c>
      <c r="AB49" s="81">
        <f t="shared" si="35"/>
        <v>1646.7318380715276</v>
      </c>
      <c r="AC49" s="81">
        <f t="shared" si="36"/>
        <v>23502.27280185611</v>
      </c>
      <c r="AD49" s="81">
        <f t="shared" si="37"/>
        <v>7990.7727526310773</v>
      </c>
      <c r="AE49" s="81">
        <f t="shared" si="38"/>
        <v>7.9907727526310774E-3</v>
      </c>
      <c r="AG49" s="107">
        <f t="shared" si="39"/>
        <v>15411.947511869723</v>
      </c>
      <c r="AI49" s="65"/>
      <c r="AJ49" s="66"/>
      <c r="AK49" s="66"/>
    </row>
    <row r="50" spans="1:37" ht="15" x14ac:dyDescent="0.2">
      <c r="A50" s="132" t="s">
        <v>205</v>
      </c>
      <c r="B50" s="134" t="s">
        <v>207</v>
      </c>
      <c r="C50" s="138">
        <v>0.45</v>
      </c>
      <c r="D50" s="139">
        <v>0</v>
      </c>
      <c r="E50" s="139">
        <v>0.99620668223998632</v>
      </c>
      <c r="F50" s="81">
        <f t="shared" si="21"/>
        <v>0</v>
      </c>
      <c r="G50" s="81">
        <v>8.7099999999999997E-2</v>
      </c>
      <c r="H50" s="81">
        <f t="shared" si="19"/>
        <v>0</v>
      </c>
      <c r="I50" s="81">
        <f t="shared" si="22"/>
        <v>0</v>
      </c>
      <c r="J50" s="152">
        <f t="shared" si="23"/>
        <v>63372.121349323948</v>
      </c>
      <c r="K50" s="153"/>
      <c r="L50" s="154">
        <f t="shared" si="24"/>
        <v>31.017227181338033</v>
      </c>
      <c r="M50" s="81">
        <f t="shared" si="25"/>
        <v>63100.831186937212</v>
      </c>
      <c r="N50" s="81">
        <v>9.8699999999999996E-2</v>
      </c>
      <c r="O50" s="81">
        <f t="shared" si="26"/>
        <v>6228.0520381507022</v>
      </c>
      <c r="P50" s="81">
        <f t="shared" si="27"/>
        <v>2802.6234171678161</v>
      </c>
      <c r="Q50" s="81">
        <f t="shared" si="28"/>
        <v>56872.779148786511</v>
      </c>
      <c r="R50" s="81">
        <v>0.25</v>
      </c>
      <c r="S50" s="81">
        <f t="shared" si="29"/>
        <v>14218.194787196628</v>
      </c>
      <c r="T50" s="81">
        <f t="shared" si="30"/>
        <v>6398.1876542384825</v>
      </c>
      <c r="U50" s="81">
        <f t="shared" si="31"/>
        <v>42654.584361589885</v>
      </c>
      <c r="V50" s="81">
        <v>0.12959999999999999</v>
      </c>
      <c r="W50" s="81">
        <f t="shared" si="32"/>
        <v>5528.0341332620492</v>
      </c>
      <c r="X50" s="81">
        <f t="shared" si="33"/>
        <v>2487.6153599679224</v>
      </c>
      <c r="Y50" s="81">
        <f t="shared" si="34"/>
        <v>37126.550228327833</v>
      </c>
      <c r="Z50" s="138">
        <v>0.18160000000000001</v>
      </c>
      <c r="AA50" s="81">
        <f t="shared" si="20"/>
        <v>6742.1815214643348</v>
      </c>
      <c r="AB50" s="81">
        <f t="shared" si="35"/>
        <v>3033.9816846589506</v>
      </c>
      <c r="AC50" s="81">
        <f t="shared" si="36"/>
        <v>32716.462480073715</v>
      </c>
      <c r="AD50" s="81">
        <f t="shared" si="37"/>
        <v>14722.408116033172</v>
      </c>
      <c r="AE50" s="81">
        <f t="shared" si="38"/>
        <v>1.472240811603317E-2</v>
      </c>
      <c r="AG50" s="107">
        <f t="shared" si="39"/>
        <v>28503.496854964178</v>
      </c>
      <c r="AI50" s="65"/>
      <c r="AJ50" s="66"/>
      <c r="AK50" s="66"/>
    </row>
    <row r="51" spans="1:37" ht="15" x14ac:dyDescent="0.2">
      <c r="A51" s="132" t="s">
        <v>205</v>
      </c>
      <c r="B51" s="134" t="s">
        <v>208</v>
      </c>
      <c r="C51" s="138">
        <v>0.23</v>
      </c>
      <c r="D51" s="139">
        <v>0</v>
      </c>
      <c r="E51" s="139">
        <v>1</v>
      </c>
      <c r="F51" s="81">
        <f t="shared" si="21"/>
        <v>0</v>
      </c>
      <c r="G51" s="81">
        <v>8.7099999999999997E-2</v>
      </c>
      <c r="H51" s="81">
        <f t="shared" si="19"/>
        <v>0</v>
      </c>
      <c r="I51" s="81">
        <f t="shared" si="22"/>
        <v>0</v>
      </c>
      <c r="J51" s="152">
        <f t="shared" si="23"/>
        <v>338365.43576624483</v>
      </c>
      <c r="K51" s="153"/>
      <c r="L51" s="154">
        <f t="shared" si="24"/>
        <v>17804.264821598594</v>
      </c>
      <c r="M51" s="81">
        <f t="shared" si="25"/>
        <v>320561.17094464623</v>
      </c>
      <c r="N51" s="81">
        <v>9.8699999999999996E-2</v>
      </c>
      <c r="O51" s="81">
        <f t="shared" si="26"/>
        <v>31639.387572236581</v>
      </c>
      <c r="P51" s="81">
        <f t="shared" si="27"/>
        <v>7277.0591416144143</v>
      </c>
      <c r="Q51" s="81">
        <f t="shared" si="28"/>
        <v>288921.78337240964</v>
      </c>
      <c r="R51" s="81">
        <v>0.25</v>
      </c>
      <c r="S51" s="81">
        <f t="shared" si="29"/>
        <v>72230.44584310241</v>
      </c>
      <c r="T51" s="81">
        <f t="shared" si="30"/>
        <v>16613.002543913553</v>
      </c>
      <c r="U51" s="81">
        <f t="shared" si="31"/>
        <v>216691.33752930723</v>
      </c>
      <c r="V51" s="81">
        <v>0.12959999999999999</v>
      </c>
      <c r="W51" s="81">
        <f t="shared" si="32"/>
        <v>28083.197343798216</v>
      </c>
      <c r="X51" s="81">
        <f t="shared" si="33"/>
        <v>6459.13538907359</v>
      </c>
      <c r="Y51" s="81">
        <f t="shared" si="34"/>
        <v>188608.14018550902</v>
      </c>
      <c r="Z51" s="138">
        <v>0.18160000000000001</v>
      </c>
      <c r="AA51" s="81">
        <f t="shared" si="20"/>
        <v>34251.238257688441</v>
      </c>
      <c r="AB51" s="81">
        <f t="shared" si="35"/>
        <v>7877.7847992683419</v>
      </c>
      <c r="AC51" s="81">
        <f t="shared" si="36"/>
        <v>166204.26901682565</v>
      </c>
      <c r="AD51" s="81">
        <f t="shared" si="37"/>
        <v>38226.981873869896</v>
      </c>
      <c r="AE51" s="81">
        <f t="shared" si="38"/>
        <v>3.8226981873869893E-2</v>
      </c>
      <c r="AG51" s="107">
        <f t="shared" si="39"/>
        <v>73729.069317268644</v>
      </c>
      <c r="AI51" s="65"/>
      <c r="AJ51" s="66"/>
      <c r="AK51" s="66"/>
    </row>
    <row r="52" spans="1:37" ht="15" x14ac:dyDescent="0.2">
      <c r="A52" s="132" t="s">
        <v>205</v>
      </c>
      <c r="B52" s="134" t="s">
        <v>209</v>
      </c>
      <c r="C52" s="138">
        <v>0.62</v>
      </c>
      <c r="D52" s="139">
        <v>0</v>
      </c>
      <c r="E52" s="139">
        <v>1</v>
      </c>
      <c r="F52" s="81">
        <f t="shared" si="21"/>
        <v>0</v>
      </c>
      <c r="G52" s="81">
        <v>8.7099999999999997E-2</v>
      </c>
      <c r="H52" s="81">
        <f t="shared" si="19"/>
        <v>0</v>
      </c>
      <c r="I52" s="81">
        <f t="shared" si="22"/>
        <v>0</v>
      </c>
      <c r="J52" s="152">
        <f t="shared" si="23"/>
        <v>19088.486242957748</v>
      </c>
      <c r="K52" s="153"/>
      <c r="L52" s="154">
        <f t="shared" si="24"/>
        <v>2051.0734742957748</v>
      </c>
      <c r="M52" s="81">
        <f t="shared" si="25"/>
        <v>17037.412768661972</v>
      </c>
      <c r="N52" s="81">
        <v>9.8699999999999996E-2</v>
      </c>
      <c r="O52" s="81">
        <f t="shared" si="26"/>
        <v>1681.5926402669365</v>
      </c>
      <c r="P52" s="81">
        <f t="shared" si="27"/>
        <v>1042.5874369655007</v>
      </c>
      <c r="Q52" s="81">
        <f t="shared" si="28"/>
        <v>15355.820128395037</v>
      </c>
      <c r="R52" s="81">
        <v>0.25</v>
      </c>
      <c r="S52" s="81">
        <f t="shared" si="29"/>
        <v>3838.9550320987591</v>
      </c>
      <c r="T52" s="81">
        <f t="shared" si="30"/>
        <v>2380.1521199012304</v>
      </c>
      <c r="U52" s="81">
        <f t="shared" si="31"/>
        <v>11516.865096296278</v>
      </c>
      <c r="V52" s="81">
        <v>0.12959999999999999</v>
      </c>
      <c r="W52" s="81">
        <f t="shared" si="32"/>
        <v>1492.5857164799977</v>
      </c>
      <c r="X52" s="81">
        <f t="shared" si="33"/>
        <v>925.40314421759854</v>
      </c>
      <c r="Y52" s="81">
        <f t="shared" si="34"/>
        <v>10024.27937981628</v>
      </c>
      <c r="Z52" s="138">
        <v>0.18160000000000001</v>
      </c>
      <c r="AA52" s="81">
        <f t="shared" si="20"/>
        <v>1820.4091353746367</v>
      </c>
      <c r="AB52" s="81">
        <f t="shared" si="35"/>
        <v>1128.6536639322746</v>
      </c>
      <c r="AC52" s="81">
        <f t="shared" si="36"/>
        <v>8833.542524220331</v>
      </c>
      <c r="AD52" s="81">
        <f t="shared" si="37"/>
        <v>5476.7963650166048</v>
      </c>
      <c r="AE52" s="81">
        <f t="shared" si="38"/>
        <v>5.4767963650166045E-3</v>
      </c>
      <c r="AG52" s="107">
        <f t="shared" si="39"/>
        <v>10563.195916570423</v>
      </c>
      <c r="AI52" s="65"/>
      <c r="AJ52" s="66"/>
      <c r="AK52" s="66"/>
    </row>
    <row r="53" spans="1:37" ht="15" x14ac:dyDescent="0.2">
      <c r="A53" s="132" t="s">
        <v>205</v>
      </c>
      <c r="B53" s="134" t="s">
        <v>210</v>
      </c>
      <c r="C53" s="138">
        <v>0.84</v>
      </c>
      <c r="D53" s="139">
        <v>0</v>
      </c>
      <c r="E53" s="139">
        <v>1</v>
      </c>
      <c r="F53" s="81">
        <f t="shared" si="21"/>
        <v>0</v>
      </c>
      <c r="G53" s="81">
        <v>8.7099999999999997E-2</v>
      </c>
      <c r="H53" s="81">
        <f t="shared" si="19"/>
        <v>0</v>
      </c>
      <c r="I53" s="81">
        <f t="shared" si="22"/>
        <v>0</v>
      </c>
      <c r="J53" s="152">
        <f t="shared" si="23"/>
        <v>203746.99189687325</v>
      </c>
      <c r="K53" s="153"/>
      <c r="L53" s="154">
        <f t="shared" si="24"/>
        <v>71173.212107640851</v>
      </c>
      <c r="M53" s="81">
        <f t="shared" si="25"/>
        <v>132573.77978923242</v>
      </c>
      <c r="N53" s="81">
        <v>9.8699999999999996E-2</v>
      </c>
      <c r="O53" s="81">
        <f t="shared" si="26"/>
        <v>13085.03206519724</v>
      </c>
      <c r="P53" s="81">
        <f t="shared" si="27"/>
        <v>10991.426934765681</v>
      </c>
      <c r="Q53" s="81">
        <f t="shared" si="28"/>
        <v>119488.74772403517</v>
      </c>
      <c r="R53" s="81">
        <v>0.25</v>
      </c>
      <c r="S53" s="81">
        <f t="shared" si="29"/>
        <v>29872.186931008793</v>
      </c>
      <c r="T53" s="81">
        <f t="shared" si="30"/>
        <v>25092.637022047384</v>
      </c>
      <c r="U53" s="81">
        <f t="shared" si="31"/>
        <v>89616.56079302638</v>
      </c>
      <c r="V53" s="81">
        <v>0.12959999999999999</v>
      </c>
      <c r="W53" s="81">
        <f t="shared" si="32"/>
        <v>11614.306278776217</v>
      </c>
      <c r="X53" s="81">
        <f t="shared" si="33"/>
        <v>9756.0172741720216</v>
      </c>
      <c r="Y53" s="81">
        <f t="shared" si="34"/>
        <v>78002.254514250162</v>
      </c>
      <c r="Z53" s="138">
        <v>0.18160000000000001</v>
      </c>
      <c r="AA53" s="81">
        <f t="shared" si="20"/>
        <v>14165.20941978783</v>
      </c>
      <c r="AB53" s="81">
        <f t="shared" si="35"/>
        <v>11898.775912621777</v>
      </c>
      <c r="AC53" s="81">
        <f t="shared" si="36"/>
        <v>68736.734694770086</v>
      </c>
      <c r="AD53" s="81">
        <f t="shared" si="37"/>
        <v>57738.857143606867</v>
      </c>
      <c r="AE53" s="81">
        <f t="shared" si="38"/>
        <v>5.7738857143606867E-2</v>
      </c>
      <c r="AG53" s="107">
        <f t="shared" si="39"/>
        <v>111361.97502295523</v>
      </c>
      <c r="AI53" s="65"/>
      <c r="AJ53" s="66"/>
      <c r="AK53" s="66"/>
    </row>
    <row r="54" spans="1:37" ht="15" x14ac:dyDescent="0.2">
      <c r="A54" s="132" t="s">
        <v>205</v>
      </c>
      <c r="B54" s="134" t="s">
        <v>211</v>
      </c>
      <c r="C54" s="138">
        <v>0.81</v>
      </c>
      <c r="D54" s="139">
        <v>22793</v>
      </c>
      <c r="E54" s="139">
        <v>0.99988602377999858</v>
      </c>
      <c r="F54" s="81">
        <f t="shared" si="21"/>
        <v>22790.402140017508</v>
      </c>
      <c r="G54" s="81">
        <v>8.7099999999999997E-2</v>
      </c>
      <c r="H54" s="81">
        <f t="shared" si="19"/>
        <v>1985.044026395525</v>
      </c>
      <c r="I54" s="81">
        <f t="shared" si="22"/>
        <v>1607.8856613803753</v>
      </c>
      <c r="J54" s="152">
        <f t="shared" si="23"/>
        <v>616885.36653083272</v>
      </c>
      <c r="K54" s="153"/>
      <c r="L54" s="154">
        <f t="shared" si="24"/>
        <v>27016.024617077466</v>
      </c>
      <c r="M54" s="81">
        <f t="shared" si="25"/>
        <v>610607.46894949116</v>
      </c>
      <c r="N54" s="81">
        <v>9.8699999999999996E-2</v>
      </c>
      <c r="O54" s="81">
        <f t="shared" si="26"/>
        <v>60266.957185314772</v>
      </c>
      <c r="P54" s="81">
        <f t="shared" si="27"/>
        <v>48816.23532010497</v>
      </c>
      <c r="Q54" s="81">
        <f t="shared" si="28"/>
        <v>550340.51176417642</v>
      </c>
      <c r="R54" s="81">
        <v>0.25</v>
      </c>
      <c r="S54" s="81">
        <f t="shared" si="29"/>
        <v>137585.12794104411</v>
      </c>
      <c r="T54" s="81">
        <f t="shared" si="30"/>
        <v>111443.95363224573</v>
      </c>
      <c r="U54" s="81">
        <f t="shared" si="31"/>
        <v>412755.38382313232</v>
      </c>
      <c r="V54" s="81">
        <v>0.12959999999999999</v>
      </c>
      <c r="W54" s="81">
        <f t="shared" si="32"/>
        <v>53493.097743477949</v>
      </c>
      <c r="X54" s="81">
        <f t="shared" si="33"/>
        <v>43329.409172217143</v>
      </c>
      <c r="Y54" s="81">
        <f>U54-W54</f>
        <v>359262.28607965435</v>
      </c>
      <c r="Z54" s="138">
        <v>0.18160000000000001</v>
      </c>
      <c r="AA54" s="81">
        <f t="shared" si="20"/>
        <v>65242.031152065232</v>
      </c>
      <c r="AB54" s="81">
        <f t="shared" si="35"/>
        <v>52846.045233172845</v>
      </c>
      <c r="AC54" s="81">
        <f t="shared" si="36"/>
        <v>318572.2580482976</v>
      </c>
      <c r="AD54" s="81">
        <f t="shared" si="37"/>
        <v>258043.52901912102</v>
      </c>
      <c r="AE54" s="81">
        <f t="shared" si="38"/>
        <v>0.25804352901912103</v>
      </c>
      <c r="AG54" s="107">
        <f t="shared" si="39"/>
        <v>477794.16695014184</v>
      </c>
      <c r="AI54" s="65"/>
      <c r="AJ54" s="66"/>
      <c r="AK54" s="66"/>
    </row>
    <row r="55" spans="1:37" ht="15" x14ac:dyDescent="0.2">
      <c r="A55" s="132" t="s">
        <v>180</v>
      </c>
      <c r="B55" s="137" t="s">
        <v>181</v>
      </c>
      <c r="C55" s="138">
        <v>5.29</v>
      </c>
      <c r="D55" s="139">
        <v>4567</v>
      </c>
      <c r="E55" s="139">
        <v>0.91631202515818311</v>
      </c>
      <c r="F55" s="81">
        <f t="shared" si="21"/>
        <v>4184.7970188974223</v>
      </c>
      <c r="G55" s="81">
        <v>8.2000000000000003E-2</v>
      </c>
      <c r="H55" s="81">
        <f t="shared" si="19"/>
        <v>343.15335554958864</v>
      </c>
      <c r="I55" s="81">
        <f t="shared" si="22"/>
        <v>1815.2812508573238</v>
      </c>
      <c r="J55" s="152">
        <f t="shared" si="23"/>
        <v>139221.16022181517</v>
      </c>
      <c r="K55" s="153"/>
      <c r="L55" s="154">
        <f t="shared" si="24"/>
        <v>18652.00175140845</v>
      </c>
      <c r="M55" s="81">
        <f t="shared" si="25"/>
        <v>114320.61343298412</v>
      </c>
      <c r="N55" s="81">
        <v>0.25469999999999998</v>
      </c>
      <c r="O55" s="81">
        <f t="shared" si="26"/>
        <v>29117.460241381053</v>
      </c>
      <c r="P55" s="81">
        <f t="shared" si="27"/>
        <v>154031.36467690577</v>
      </c>
      <c r="Q55" s="81">
        <f t="shared" si="28"/>
        <v>85203.153191603065</v>
      </c>
      <c r="R55" s="81">
        <v>0.09</v>
      </c>
      <c r="S55" s="81">
        <f t="shared" si="29"/>
        <v>7668.283787244276</v>
      </c>
      <c r="T55" s="81">
        <f t="shared" si="30"/>
        <v>40565.221234522221</v>
      </c>
      <c r="U55" s="81">
        <f t="shared" si="31"/>
        <v>77534.869404358789</v>
      </c>
      <c r="V55" s="81">
        <v>0.12330000000000001</v>
      </c>
      <c r="W55" s="81">
        <f t="shared" si="32"/>
        <v>9560.0493975574391</v>
      </c>
      <c r="X55" s="81">
        <f t="shared" si="33"/>
        <v>50572.661313078854</v>
      </c>
      <c r="Y55" s="81">
        <f t="shared" ref="Y55:Y64" si="40">U55-W55</f>
        <v>67974.820006801354</v>
      </c>
      <c r="Z55" s="138">
        <v>0.02</v>
      </c>
      <c r="AA55" s="81">
        <f t="shared" si="20"/>
        <v>1359.4964001360272</v>
      </c>
      <c r="AB55" s="81">
        <f t="shared" si="35"/>
        <v>7191.7359567195836</v>
      </c>
      <c r="AC55" s="81">
        <f t="shared" si="36"/>
        <v>48048.443181868388</v>
      </c>
      <c r="AD55" s="81">
        <f t="shared" si="37"/>
        <v>254176.26443208376</v>
      </c>
      <c r="AE55" s="81">
        <f t="shared" si="38"/>
        <v>0.25417626443208374</v>
      </c>
      <c r="AG55" s="140">
        <f t="shared" si="39"/>
        <v>637810.84830845159</v>
      </c>
      <c r="AI55" s="65"/>
      <c r="AJ55" s="66"/>
      <c r="AK55" s="66"/>
    </row>
    <row r="56" spans="1:37" ht="15" x14ac:dyDescent="0.2">
      <c r="A56" s="132" t="s">
        <v>182</v>
      </c>
      <c r="B56" s="134" t="s">
        <v>183</v>
      </c>
      <c r="C56" s="138">
        <v>39.08</v>
      </c>
      <c r="D56" s="139">
        <v>0</v>
      </c>
      <c r="E56" s="139">
        <v>1</v>
      </c>
      <c r="F56" s="81">
        <f t="shared" si="21"/>
        <v>0</v>
      </c>
      <c r="G56" s="138">
        <v>0.1</v>
      </c>
      <c r="H56" s="81">
        <f t="shared" si="19"/>
        <v>0</v>
      </c>
      <c r="I56" s="81">
        <f t="shared" si="22"/>
        <v>0</v>
      </c>
      <c r="J56" s="152">
        <f t="shared" si="23"/>
        <v>430042.0429940141</v>
      </c>
      <c r="K56" s="153"/>
      <c r="L56" s="154">
        <f t="shared" si="24"/>
        <v>183468.72999172538</v>
      </c>
      <c r="M56" s="81">
        <f t="shared" si="25"/>
        <v>246573.31300228872</v>
      </c>
      <c r="N56" s="81">
        <v>2.0999999999999999E-3</v>
      </c>
      <c r="O56" s="81">
        <f t="shared" si="26"/>
        <v>517.80395730480632</v>
      </c>
      <c r="P56" s="81">
        <f t="shared" si="27"/>
        <v>20235.778651471828</v>
      </c>
      <c r="Q56" s="81">
        <f t="shared" si="28"/>
        <v>246055.50904498392</v>
      </c>
      <c r="R56" s="81">
        <v>0.05</v>
      </c>
      <c r="S56" s="81">
        <f t="shared" si="29"/>
        <v>12302.775452249196</v>
      </c>
      <c r="T56" s="81">
        <f t="shared" si="30"/>
        <v>480792.46467389853</v>
      </c>
      <c r="U56" s="81">
        <f t="shared" si="31"/>
        <v>233752.73359273473</v>
      </c>
      <c r="V56" s="81">
        <v>7.0000000000000007E-2</v>
      </c>
      <c r="W56" s="81">
        <f t="shared" si="32"/>
        <v>16362.691351491432</v>
      </c>
      <c r="X56" s="81">
        <f t="shared" si="33"/>
        <v>639453.97801628511</v>
      </c>
      <c r="Y56" s="81">
        <f t="shared" si="40"/>
        <v>217390.0422412433</v>
      </c>
      <c r="Z56" s="138">
        <v>0.04</v>
      </c>
      <c r="AA56" s="81">
        <f t="shared" si="20"/>
        <v>8695.6016896497313</v>
      </c>
      <c r="AB56" s="81">
        <f t="shared" si="35"/>
        <v>339824.11403151148</v>
      </c>
      <c r="AC56" s="81">
        <f t="shared" si="36"/>
        <v>37878.872450695169</v>
      </c>
      <c r="AD56" s="81">
        <f t="shared" si="37"/>
        <v>1480306.3353731669</v>
      </c>
      <c r="AE56" s="81">
        <f t="shared" si="38"/>
        <v>1.4803063353731669</v>
      </c>
      <c r="AG56" s="140">
        <f t="shared" si="39"/>
        <v>9636085.0721294433</v>
      </c>
      <c r="AI56" s="65"/>
      <c r="AJ56" s="66"/>
      <c r="AK56" s="66"/>
    </row>
    <row r="57" spans="1:37" ht="15" x14ac:dyDescent="0.2">
      <c r="A57" s="132" t="s">
        <v>182</v>
      </c>
      <c r="B57" s="134" t="s">
        <v>184</v>
      </c>
      <c r="C57" s="138">
        <v>15.71</v>
      </c>
      <c r="D57" s="139">
        <v>0</v>
      </c>
      <c r="E57" s="139">
        <v>1</v>
      </c>
      <c r="F57" s="81">
        <f t="shared" si="21"/>
        <v>0</v>
      </c>
      <c r="G57" s="138">
        <v>0.1</v>
      </c>
      <c r="H57" s="81">
        <f t="shared" si="19"/>
        <v>0</v>
      </c>
      <c r="I57" s="81">
        <f t="shared" si="22"/>
        <v>0</v>
      </c>
      <c r="J57" s="152">
        <f t="shared" si="23"/>
        <v>17157.178128521129</v>
      </c>
      <c r="K57" s="153"/>
      <c r="L57" s="154">
        <f t="shared" si="24"/>
        <v>1797.83693221831</v>
      </c>
      <c r="M57" s="81">
        <f t="shared" si="25"/>
        <v>15359.341196302819</v>
      </c>
      <c r="N57" s="81">
        <v>2E-3</v>
      </c>
      <c r="O57" s="81">
        <f t="shared" si="26"/>
        <v>30.71868239260564</v>
      </c>
      <c r="P57" s="81">
        <f t="shared" si="27"/>
        <v>482.59050038783465</v>
      </c>
      <c r="Q57" s="81">
        <f t="shared" si="28"/>
        <v>15328.622513910213</v>
      </c>
      <c r="R57" s="81">
        <v>0.05</v>
      </c>
      <c r="S57" s="81">
        <f t="shared" si="29"/>
        <v>766.43112569551067</v>
      </c>
      <c r="T57" s="81">
        <f t="shared" si="30"/>
        <v>12040.632984676473</v>
      </c>
      <c r="U57" s="81">
        <f t="shared" si="31"/>
        <v>14562.191388214702</v>
      </c>
      <c r="V57" s="81">
        <v>7.0000000000000007E-2</v>
      </c>
      <c r="W57" s="81">
        <f t="shared" si="32"/>
        <v>1019.3533971750293</v>
      </c>
      <c r="X57" s="81">
        <f t="shared" si="33"/>
        <v>16014.04186961971</v>
      </c>
      <c r="Y57" s="81">
        <f t="shared" si="40"/>
        <v>13542.837991039672</v>
      </c>
      <c r="Z57" s="138">
        <v>0.04</v>
      </c>
      <c r="AA57" s="81">
        <f t="shared" si="20"/>
        <v>541.71351964158691</v>
      </c>
      <c r="AB57" s="81">
        <f t="shared" si="35"/>
        <v>8510.3193935693307</v>
      </c>
      <c r="AC57" s="81">
        <f t="shared" si="36"/>
        <v>2358.2167249047325</v>
      </c>
      <c r="AD57" s="81">
        <f t="shared" si="37"/>
        <v>37047.584748253343</v>
      </c>
      <c r="AE57" s="81">
        <f t="shared" si="38"/>
        <v>3.7047584748253343E-2</v>
      </c>
      <c r="AG57" s="140">
        <f t="shared" si="39"/>
        <v>241295.25019391731</v>
      </c>
      <c r="AI57" s="65"/>
      <c r="AJ57" s="66"/>
      <c r="AK57" s="66"/>
    </row>
    <row r="58" spans="1:37" ht="15" x14ac:dyDescent="0.2">
      <c r="A58" s="132" t="s">
        <v>182</v>
      </c>
      <c r="B58" s="134" t="s">
        <v>185</v>
      </c>
      <c r="C58" s="138">
        <v>6.92</v>
      </c>
      <c r="D58" s="139">
        <v>0</v>
      </c>
      <c r="E58" s="139">
        <v>1</v>
      </c>
      <c r="F58" s="81">
        <f t="shared" si="21"/>
        <v>0</v>
      </c>
      <c r="G58" s="138">
        <v>0.06</v>
      </c>
      <c r="H58" s="81">
        <f t="shared" si="19"/>
        <v>0</v>
      </c>
      <c r="I58" s="81">
        <f t="shared" si="22"/>
        <v>0</v>
      </c>
      <c r="J58" s="152">
        <f t="shared" si="23"/>
        <v>114845.21949190143</v>
      </c>
      <c r="K58" s="153"/>
      <c r="L58" s="154">
        <f t="shared" si="24"/>
        <v>8468.1596632042256</v>
      </c>
      <c r="M58" s="81">
        <f t="shared" si="25"/>
        <v>106377.05982869721</v>
      </c>
      <c r="N58" s="81">
        <v>4.6999999999999993E-3</v>
      </c>
      <c r="O58" s="81">
        <f t="shared" si="26"/>
        <v>499.97218119487678</v>
      </c>
      <c r="P58" s="81">
        <f t="shared" si="27"/>
        <v>3459.8074938685472</v>
      </c>
      <c r="Q58" s="81">
        <f t="shared" si="28"/>
        <v>105877.08764750233</v>
      </c>
      <c r="R58" s="81">
        <v>0.05</v>
      </c>
      <c r="S58" s="81">
        <f t="shared" si="29"/>
        <v>5293.854382375117</v>
      </c>
      <c r="T58" s="81">
        <f t="shared" si="30"/>
        <v>36633.472326035808</v>
      </c>
      <c r="U58" s="81">
        <f t="shared" si="31"/>
        <v>100583.2332651272</v>
      </c>
      <c r="V58" s="81">
        <v>7.0000000000000007E-2</v>
      </c>
      <c r="W58" s="81">
        <f t="shared" si="32"/>
        <v>7040.8263285589046</v>
      </c>
      <c r="X58" s="81">
        <f t="shared" si="33"/>
        <v>48722.51819362762</v>
      </c>
      <c r="Y58" s="81">
        <f t="shared" si="40"/>
        <v>93542.406936568295</v>
      </c>
      <c r="Z58" s="138">
        <v>0.04</v>
      </c>
      <c r="AA58" s="81">
        <f t="shared" si="20"/>
        <v>3741.6962774627318</v>
      </c>
      <c r="AB58" s="81">
        <f t="shared" si="35"/>
        <v>25892.538240042104</v>
      </c>
      <c r="AC58" s="81">
        <f t="shared" si="36"/>
        <v>16576.349169591631</v>
      </c>
      <c r="AD58" s="81">
        <f t="shared" si="37"/>
        <v>114708.33625357409</v>
      </c>
      <c r="AE58" s="81">
        <f t="shared" si="38"/>
        <v>0.11470833625357409</v>
      </c>
      <c r="AG58" s="140">
        <f t="shared" si="39"/>
        <v>736129.2540145847</v>
      </c>
      <c r="AI58" s="65"/>
      <c r="AJ58" s="66"/>
      <c r="AK58" s="66"/>
    </row>
    <row r="59" spans="1:37" ht="15" x14ac:dyDescent="0.2">
      <c r="A59" s="132" t="s">
        <v>182</v>
      </c>
      <c r="B59" s="134" t="s">
        <v>186</v>
      </c>
      <c r="C59" s="138">
        <v>4.68</v>
      </c>
      <c r="D59" s="139">
        <v>0</v>
      </c>
      <c r="E59" s="139">
        <v>0.98089290131090778</v>
      </c>
      <c r="F59" s="81">
        <f t="shared" si="21"/>
        <v>0</v>
      </c>
      <c r="G59" s="138">
        <v>0.08</v>
      </c>
      <c r="H59" s="81">
        <f t="shared" si="19"/>
        <v>0</v>
      </c>
      <c r="I59" s="81">
        <f t="shared" si="22"/>
        <v>0</v>
      </c>
      <c r="J59" s="152">
        <f t="shared" si="23"/>
        <v>209809.39616389968</v>
      </c>
      <c r="K59" s="153"/>
      <c r="L59" s="154">
        <f t="shared" si="24"/>
        <v>32008.776631771128</v>
      </c>
      <c r="M59" s="81">
        <f t="shared" si="25"/>
        <v>174403.36554774642</v>
      </c>
      <c r="N59" s="81">
        <v>9.7000000000000003E-3</v>
      </c>
      <c r="O59" s="81">
        <f t="shared" si="26"/>
        <v>1691.7126458131404</v>
      </c>
      <c r="P59" s="81">
        <f t="shared" si="27"/>
        <v>7917.2151824054963</v>
      </c>
      <c r="Q59" s="81">
        <f t="shared" si="28"/>
        <v>172711.65290193327</v>
      </c>
      <c r="R59" s="81">
        <v>0.05</v>
      </c>
      <c r="S59" s="81">
        <f t="shared" si="29"/>
        <v>8635.5826450966633</v>
      </c>
      <c r="T59" s="81">
        <f t="shared" si="30"/>
        <v>40414.526779052379</v>
      </c>
      <c r="U59" s="81">
        <f t="shared" si="31"/>
        <v>164076.0702568366</v>
      </c>
      <c r="V59" s="81">
        <v>7.0000000000000007E-2</v>
      </c>
      <c r="W59" s="81">
        <f t="shared" si="32"/>
        <v>11485.324917978563</v>
      </c>
      <c r="X59" s="81">
        <f t="shared" si="33"/>
        <v>53751.320616139674</v>
      </c>
      <c r="Y59" s="81">
        <f t="shared" si="40"/>
        <v>152590.74533885805</v>
      </c>
      <c r="Z59" s="138">
        <v>0.04</v>
      </c>
      <c r="AA59" s="81">
        <f t="shared" si="20"/>
        <v>6103.629813554322</v>
      </c>
      <c r="AB59" s="81">
        <f t="shared" si="35"/>
        <v>28564.987527434227</v>
      </c>
      <c r="AC59" s="81">
        <f t="shared" si="36"/>
        <v>27916.250022442688</v>
      </c>
      <c r="AD59" s="81">
        <f t="shared" si="37"/>
        <v>130648.05010503178</v>
      </c>
      <c r="AE59" s="81">
        <f t="shared" si="38"/>
        <v>0.13064805010503178</v>
      </c>
      <c r="AG59" s="140">
        <f t="shared" si="39"/>
        <v>832106.89941036166</v>
      </c>
      <c r="AI59" s="65"/>
      <c r="AJ59" s="66"/>
      <c r="AK59" s="66"/>
    </row>
    <row r="60" spans="1:37" ht="15" x14ac:dyDescent="0.2">
      <c r="A60" s="132" t="s">
        <v>187</v>
      </c>
      <c r="B60" s="134" t="s">
        <v>188</v>
      </c>
      <c r="C60" s="138">
        <v>3.06</v>
      </c>
      <c r="D60" s="139">
        <f>616*60*10^-6</f>
        <v>3.696E-2</v>
      </c>
      <c r="E60" s="139">
        <v>0.90840605653762962</v>
      </c>
      <c r="F60" s="81">
        <f t="shared" si="21"/>
        <v>3.3574687849630788E-2</v>
      </c>
      <c r="G60" s="138">
        <v>0.08</v>
      </c>
      <c r="H60" s="81">
        <f t="shared" si="19"/>
        <v>2.6859750279704629E-3</v>
      </c>
      <c r="I60" s="81">
        <f t="shared" si="22"/>
        <v>8.219083585589617E-3</v>
      </c>
      <c r="J60" s="152">
        <f t="shared" si="23"/>
        <v>103248.75610452289</v>
      </c>
      <c r="K60" s="153"/>
      <c r="L60" s="154">
        <f t="shared" si="24"/>
        <v>2282.8163786760565</v>
      </c>
      <c r="M60" s="81">
        <f t="shared" si="25"/>
        <v>91718.102039685342</v>
      </c>
      <c r="N60" s="81">
        <v>7.2300000000000003E-2</v>
      </c>
      <c r="O60" s="81">
        <f t="shared" si="26"/>
        <v>6631.2187774692502</v>
      </c>
      <c r="P60" s="81">
        <f t="shared" si="27"/>
        <v>20291.529459055906</v>
      </c>
      <c r="Q60" s="81">
        <f t="shared" si="28"/>
        <v>85086.883262216084</v>
      </c>
      <c r="R60" s="81">
        <v>1E-3</v>
      </c>
      <c r="S60" s="81">
        <f t="shared" si="29"/>
        <v>85.086883262216091</v>
      </c>
      <c r="T60" s="81">
        <f t="shared" si="30"/>
        <v>260.36586278238127</v>
      </c>
      <c r="U60" s="81">
        <f t="shared" si="31"/>
        <v>85001.796378953863</v>
      </c>
      <c r="V60" s="81">
        <v>0.03</v>
      </c>
      <c r="W60" s="81">
        <f t="shared" si="32"/>
        <v>2550.053891368616</v>
      </c>
      <c r="X60" s="81">
        <f t="shared" si="33"/>
        <v>7803.164907587965</v>
      </c>
      <c r="Y60" s="81">
        <f t="shared" si="40"/>
        <v>82451.742487585245</v>
      </c>
      <c r="Z60" s="138">
        <v>0.02</v>
      </c>
      <c r="AA60" s="81">
        <f t="shared" si="20"/>
        <v>1649.034849751705</v>
      </c>
      <c r="AB60" s="81">
        <f t="shared" si="35"/>
        <v>5046.0466402402171</v>
      </c>
      <c r="AC60" s="81">
        <f t="shared" si="36"/>
        <v>10915.397087826816</v>
      </c>
      <c r="AD60" s="81">
        <f t="shared" si="37"/>
        <v>33401.115088750055</v>
      </c>
      <c r="AE60" s="81">
        <f t="shared" si="38"/>
        <v>3.3401115088750051E-2</v>
      </c>
      <c r="AG60" s="140">
        <f t="shared" si="39"/>
        <v>308955.77556109132</v>
      </c>
      <c r="AI60" s="65"/>
      <c r="AJ60" s="66"/>
      <c r="AK60" s="66"/>
    </row>
    <row r="61" spans="1:37" ht="15" x14ac:dyDescent="0.2">
      <c r="A61" s="132" t="s">
        <v>187</v>
      </c>
      <c r="B61" s="134" t="s">
        <v>189</v>
      </c>
      <c r="C61" s="138">
        <v>2.31</v>
      </c>
      <c r="D61" s="139">
        <v>0</v>
      </c>
      <c r="E61" s="139">
        <v>0.8333769781866931</v>
      </c>
      <c r="F61" s="81">
        <f t="shared" si="21"/>
        <v>0</v>
      </c>
      <c r="G61" s="138">
        <v>3.5000000000000003E-2</v>
      </c>
      <c r="H61" s="81">
        <f t="shared" si="19"/>
        <v>0</v>
      </c>
      <c r="I61" s="81">
        <f t="shared" si="22"/>
        <v>0</v>
      </c>
      <c r="J61" s="152">
        <f t="shared" si="23"/>
        <v>254694.82511576588</v>
      </c>
      <c r="K61" s="153"/>
      <c r="L61" s="154">
        <f t="shared" si="24"/>
        <v>12909.211245862678</v>
      </c>
      <c r="M61" s="81">
        <f t="shared" si="25"/>
        <v>201498.56425591453</v>
      </c>
      <c r="N61" s="81">
        <v>4.6799999999999994E-2</v>
      </c>
      <c r="O61" s="81">
        <f t="shared" si="26"/>
        <v>9430.1328071767985</v>
      </c>
      <c r="P61" s="81">
        <f t="shared" si="27"/>
        <v>21783.606784578405</v>
      </c>
      <c r="Q61" s="81">
        <f t="shared" si="28"/>
        <v>192068.43144873774</v>
      </c>
      <c r="R61" s="81">
        <v>0.02</v>
      </c>
      <c r="S61" s="81">
        <f t="shared" si="29"/>
        <v>3841.3686289747548</v>
      </c>
      <c r="T61" s="81">
        <f t="shared" si="30"/>
        <v>8873.5615329316843</v>
      </c>
      <c r="U61" s="81">
        <f t="shared" si="31"/>
        <v>188227.062819763</v>
      </c>
      <c r="V61" s="81">
        <v>0.1</v>
      </c>
      <c r="W61" s="81">
        <f t="shared" si="32"/>
        <v>18822.706281976301</v>
      </c>
      <c r="X61" s="81">
        <f t="shared" si="33"/>
        <v>43480.45151136526</v>
      </c>
      <c r="Y61" s="81">
        <f t="shared" si="40"/>
        <v>169404.35653778669</v>
      </c>
      <c r="Z61" s="138">
        <v>0.01</v>
      </c>
      <c r="AA61" s="81">
        <f t="shared" si="20"/>
        <v>1694.043565377867</v>
      </c>
      <c r="AB61" s="81">
        <f t="shared" si="35"/>
        <v>3913.2406360228729</v>
      </c>
      <c r="AC61" s="81">
        <f t="shared" si="36"/>
        <v>33788.25128350572</v>
      </c>
      <c r="AD61" s="81">
        <f t="shared" si="37"/>
        <v>78050.860464898229</v>
      </c>
      <c r="AE61" s="81">
        <f t="shared" si="38"/>
        <v>7.8050860464898231E-2</v>
      </c>
      <c r="AG61" s="140">
        <f t="shared" si="39"/>
        <v>558524.76803947636</v>
      </c>
      <c r="AI61" s="65"/>
      <c r="AJ61" s="66"/>
      <c r="AK61" s="66"/>
    </row>
    <row r="62" spans="1:37" ht="15" x14ac:dyDescent="0.2">
      <c r="A62" s="132" t="s">
        <v>190</v>
      </c>
      <c r="B62" s="134" t="s">
        <v>191</v>
      </c>
      <c r="C62" s="138">
        <v>1.96</v>
      </c>
      <c r="D62" s="139">
        <v>0</v>
      </c>
      <c r="E62" s="139">
        <v>0.95656293237765</v>
      </c>
      <c r="F62" s="81">
        <f t="shared" si="21"/>
        <v>0</v>
      </c>
      <c r="G62" s="138">
        <v>7.0000000000000007E-2</v>
      </c>
      <c r="H62" s="81">
        <f t="shared" si="19"/>
        <v>0</v>
      </c>
      <c r="I62" s="81">
        <f t="shared" si="22"/>
        <v>0</v>
      </c>
      <c r="J62" s="152">
        <f t="shared" si="23"/>
        <v>47643.783769894369</v>
      </c>
      <c r="K62" s="153"/>
      <c r="L62" s="154">
        <f t="shared" si="24"/>
        <v>2835.2161819049302</v>
      </c>
      <c r="M62" s="81">
        <f t="shared" si="25"/>
        <v>42862.2148076093</v>
      </c>
      <c r="N62" s="81">
        <v>3.4000000000000002E-2</v>
      </c>
      <c r="O62" s="81">
        <f t="shared" si="26"/>
        <v>1457.3153034587162</v>
      </c>
      <c r="P62" s="81">
        <f t="shared" si="27"/>
        <v>2856.3379947790836</v>
      </c>
      <c r="Q62" s="81">
        <f t="shared" si="28"/>
        <v>41404.899504150584</v>
      </c>
      <c r="R62" s="81">
        <v>0.08</v>
      </c>
      <c r="S62" s="81">
        <f t="shared" si="29"/>
        <v>3312.3919603320469</v>
      </c>
      <c r="T62" s="81">
        <f t="shared" si="30"/>
        <v>6492.2882422508119</v>
      </c>
      <c r="U62" s="81">
        <f t="shared" si="31"/>
        <v>38092.507543818538</v>
      </c>
      <c r="V62" s="81">
        <v>0.02</v>
      </c>
      <c r="W62" s="81">
        <f t="shared" si="32"/>
        <v>761.85015087637078</v>
      </c>
      <c r="X62" s="81">
        <f t="shared" si="33"/>
        <v>1493.2262957176868</v>
      </c>
      <c r="Y62" s="81">
        <f t="shared" si="40"/>
        <v>37330.657392942165</v>
      </c>
      <c r="Z62" s="138">
        <v>0.01</v>
      </c>
      <c r="AA62" s="81">
        <f t="shared" si="20"/>
        <v>373.30657392942163</v>
      </c>
      <c r="AB62" s="81">
        <f t="shared" si="35"/>
        <v>731.68088490166633</v>
      </c>
      <c r="AC62" s="81">
        <f t="shared" si="36"/>
        <v>5904.8639885965558</v>
      </c>
      <c r="AD62" s="81">
        <f t="shared" si="37"/>
        <v>11573.533417649249</v>
      </c>
      <c r="AE62" s="81">
        <f t="shared" si="38"/>
        <v>1.1573533417649249E-2</v>
      </c>
      <c r="AG62" s="107">
        <f t="shared" si="39"/>
        <v>87824.792472459303</v>
      </c>
      <c r="AI62" s="65"/>
      <c r="AJ62" s="66"/>
      <c r="AK62" s="66"/>
    </row>
    <row r="63" spans="1:37" ht="15" x14ac:dyDescent="0.2">
      <c r="A63" s="132" t="s">
        <v>190</v>
      </c>
      <c r="B63" s="134" t="s">
        <v>192</v>
      </c>
      <c r="C63" s="138">
        <v>0.34</v>
      </c>
      <c r="D63" s="139">
        <v>0</v>
      </c>
      <c r="E63" s="139">
        <v>0.78076999236230937</v>
      </c>
      <c r="F63" s="81">
        <f t="shared" si="21"/>
        <v>0</v>
      </c>
      <c r="G63" s="138">
        <v>7.0000000000000007E-2</v>
      </c>
      <c r="H63" s="81">
        <f t="shared" si="19"/>
        <v>0</v>
      </c>
      <c r="I63" s="81">
        <f t="shared" si="22"/>
        <v>0</v>
      </c>
      <c r="J63" s="152">
        <f t="shared" si="23"/>
        <v>23218.523741142606</v>
      </c>
      <c r="K63" s="153"/>
      <c r="L63" s="154">
        <f t="shared" si="24"/>
        <v>1670.7108991197183</v>
      </c>
      <c r="M63" s="81">
        <f t="shared" si="25"/>
        <v>16823.885668090679</v>
      </c>
      <c r="N63" s="81">
        <v>3.4000000000000002E-2</v>
      </c>
      <c r="O63" s="81">
        <f t="shared" si="26"/>
        <v>572.01211271508316</v>
      </c>
      <c r="P63" s="81">
        <f t="shared" si="27"/>
        <v>194.48411832312829</v>
      </c>
      <c r="Q63" s="81">
        <f t="shared" si="28"/>
        <v>16251.873555375596</v>
      </c>
      <c r="R63" s="81">
        <v>0.08</v>
      </c>
      <c r="S63" s="81">
        <f t="shared" si="29"/>
        <v>1300.1498844300477</v>
      </c>
      <c r="T63" s="81">
        <f t="shared" si="30"/>
        <v>442.05096070621624</v>
      </c>
      <c r="U63" s="81">
        <f t="shared" si="31"/>
        <v>14951.723670945548</v>
      </c>
      <c r="V63" s="81">
        <v>0.02</v>
      </c>
      <c r="W63" s="81">
        <f t="shared" si="32"/>
        <v>299.03447341891098</v>
      </c>
      <c r="X63" s="81">
        <f t="shared" si="33"/>
        <v>101.67172096242975</v>
      </c>
      <c r="Y63" s="81">
        <f t="shared" si="40"/>
        <v>14652.689197526637</v>
      </c>
      <c r="Z63" s="138">
        <v>0.01</v>
      </c>
      <c r="AA63" s="81">
        <f t="shared" si="20"/>
        <v>146.52689197526638</v>
      </c>
      <c r="AB63" s="81">
        <f t="shared" si="35"/>
        <v>49.819143271590576</v>
      </c>
      <c r="AC63" s="81">
        <f t="shared" si="36"/>
        <v>2317.7233625393083</v>
      </c>
      <c r="AD63" s="81">
        <f t="shared" si="37"/>
        <v>788.02594326336475</v>
      </c>
      <c r="AE63" s="81">
        <f t="shared" si="38"/>
        <v>7.8802594326336469E-4</v>
      </c>
      <c r="AG63" s="107">
        <f t="shared" si="39"/>
        <v>7326.2563662877828</v>
      </c>
      <c r="AI63" s="65"/>
      <c r="AJ63" s="66"/>
      <c r="AK63" s="66"/>
    </row>
    <row r="64" spans="1:37" ht="15" x14ac:dyDescent="0.2">
      <c r="A64" s="132" t="s">
        <v>193</v>
      </c>
      <c r="B64" s="134" t="s">
        <v>194</v>
      </c>
      <c r="C64" s="138">
        <v>0.16</v>
      </c>
      <c r="D64" s="139">
        <v>0</v>
      </c>
      <c r="E64" s="139">
        <v>0.7323126918216285</v>
      </c>
      <c r="F64" s="81">
        <f t="shared" si="21"/>
        <v>0</v>
      </c>
      <c r="G64" s="138">
        <v>8.1500000000000003E-2</v>
      </c>
      <c r="H64" s="81">
        <f t="shared" si="19"/>
        <v>0</v>
      </c>
      <c r="I64" s="81">
        <f t="shared" si="22"/>
        <v>0</v>
      </c>
      <c r="J64" s="152">
        <f t="shared" si="23"/>
        <v>79091.007669894359</v>
      </c>
      <c r="K64" s="153"/>
      <c r="L64" s="154">
        <f t="shared" si="24"/>
        <v>1790.006286855634</v>
      </c>
      <c r="M64" s="81">
        <f t="shared" si="25"/>
        <v>56608.504403320512</v>
      </c>
      <c r="N64" s="81">
        <v>0.1211</v>
      </c>
      <c r="O64" s="81">
        <f t="shared" si="26"/>
        <v>6855.2898832421142</v>
      </c>
      <c r="P64" s="81">
        <f t="shared" si="27"/>
        <v>1096.8463813187384</v>
      </c>
      <c r="Q64" s="81">
        <f t="shared" si="28"/>
        <v>49753.2145200784</v>
      </c>
      <c r="R64" s="81">
        <v>0.1</v>
      </c>
      <c r="S64" s="81">
        <f t="shared" si="29"/>
        <v>4975.32145200784</v>
      </c>
      <c r="T64" s="81">
        <f t="shared" si="30"/>
        <v>796.05143232125442</v>
      </c>
      <c r="U64" s="81">
        <f t="shared" si="31"/>
        <v>44777.89306807056</v>
      </c>
      <c r="V64" s="81">
        <v>0.10780000000000001</v>
      </c>
      <c r="W64" s="81">
        <f t="shared" si="32"/>
        <v>4827.0568727380069</v>
      </c>
      <c r="X64" s="81">
        <f t="shared" si="33"/>
        <v>772.32909963808106</v>
      </c>
      <c r="Y64" s="81">
        <f t="shared" si="40"/>
        <v>39950.836195332551</v>
      </c>
      <c r="Z64" s="138">
        <v>3.8800000000000001E-2</v>
      </c>
      <c r="AA64" s="81">
        <f t="shared" si="20"/>
        <v>1550.0924443789031</v>
      </c>
      <c r="AB64" s="81">
        <f t="shared" si="35"/>
        <v>248.01479110062451</v>
      </c>
      <c r="AC64" s="81">
        <f t="shared" si="36"/>
        <v>18207.760652366866</v>
      </c>
      <c r="AD64" s="81">
        <f t="shared" si="37"/>
        <v>2913.2417043786982</v>
      </c>
      <c r="AE64" s="81">
        <f t="shared" si="38"/>
        <v>2.9132417043786982E-3</v>
      </c>
      <c r="AG64" s="107">
        <f t="shared" si="39"/>
        <v>12368.160221286198</v>
      </c>
      <c r="AI64" s="65"/>
      <c r="AJ64" s="66"/>
      <c r="AK64" s="66"/>
    </row>
    <row r="65" spans="3:37" x14ac:dyDescent="0.2">
      <c r="C65" s="139">
        <f>AVERAGE(C40:C64)</f>
        <v>3.682799999999999</v>
      </c>
      <c r="D65" s="81"/>
      <c r="E65" s="81"/>
      <c r="F65" s="81"/>
      <c r="G65" s="81"/>
      <c r="H65" s="81"/>
      <c r="I65" s="81"/>
      <c r="J65" s="158">
        <f>SUM(J40:J64)</f>
        <v>3430350.5732533368</v>
      </c>
      <c r="K65" s="159"/>
      <c r="L65" s="160">
        <f>SUM(L40:L64)</f>
        <v>497684.47973768838</v>
      </c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>
        <f>SUM(AC40:AC64)</f>
        <v>906551.31509560812</v>
      </c>
      <c r="AD65" s="81">
        <f>SUM(AD40:AD64)</f>
        <v>2620829.2354608867</v>
      </c>
      <c r="AE65" s="81">
        <f t="shared" si="38"/>
        <v>2.6208292354608864</v>
      </c>
      <c r="AG65" s="107">
        <f>SUM(AG40:AG64)*10^-6</f>
        <v>14.548080724282084</v>
      </c>
      <c r="AH65" s="32" t="s">
        <v>551</v>
      </c>
      <c r="AI65" s="65"/>
      <c r="AJ65" s="65"/>
      <c r="AK65" s="65"/>
    </row>
    <row r="66" spans="3:37" x14ac:dyDescent="0.2">
      <c r="AG66" s="107">
        <f>SUM(AG55:AG61)*10^-6</f>
        <v>12.950907867657326</v>
      </c>
      <c r="AH66" s="32" t="s">
        <v>765</v>
      </c>
    </row>
    <row r="75" spans="3:37" x14ac:dyDescent="0.2"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3:37" x14ac:dyDescent="0.2"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8" spans="3:37" x14ac:dyDescent="0.2"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3:37" x14ac:dyDescent="0.2"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3:37" x14ac:dyDescent="0.2"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7:34" x14ac:dyDescent="0.2"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7:34" x14ac:dyDescent="0.2"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7:34" x14ac:dyDescent="0.2"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7:34" x14ac:dyDescent="0.2"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7:34" x14ac:dyDescent="0.2"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7:34" x14ac:dyDescent="0.2"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7:34" x14ac:dyDescent="0.2"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7:34" x14ac:dyDescent="0.2"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7:34" x14ac:dyDescent="0.2"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7:34" x14ac:dyDescent="0.2"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7:34" x14ac:dyDescent="0.2"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7:34" x14ac:dyDescent="0.2"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7:34" x14ac:dyDescent="0.2"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7:34" x14ac:dyDescent="0.2"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7:34" x14ac:dyDescent="0.2"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7:34" x14ac:dyDescent="0.2"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7:34" x14ac:dyDescent="0.2"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7:34" x14ac:dyDescent="0.2"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7:34" x14ac:dyDescent="0.2"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7:34" x14ac:dyDescent="0.2"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7:34" x14ac:dyDescent="0.2"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7:34" x14ac:dyDescent="0.2"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7:34" x14ac:dyDescent="0.2"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7:34" x14ac:dyDescent="0.2"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7:34" x14ac:dyDescent="0.2"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7:34" x14ac:dyDescent="0.2"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7:34" x14ac:dyDescent="0.2"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7:34" x14ac:dyDescent="0.2"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7:34" x14ac:dyDescent="0.2"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7:34" x14ac:dyDescent="0.2"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7:34" x14ac:dyDescent="0.2"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7:34" x14ac:dyDescent="0.2"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7:34" x14ac:dyDescent="0.2"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7:34" x14ac:dyDescent="0.2"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7:34" x14ac:dyDescent="0.2"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7:34" x14ac:dyDescent="0.2"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7:34" x14ac:dyDescent="0.2"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7:34" x14ac:dyDescent="0.2"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7:34" x14ac:dyDescent="0.2"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7:34" x14ac:dyDescent="0.2"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7:34" x14ac:dyDescent="0.2"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7:34" x14ac:dyDescent="0.2"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7:34" x14ac:dyDescent="0.2"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7:34" x14ac:dyDescent="0.2"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7:34" x14ac:dyDescent="0.2"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7:34" x14ac:dyDescent="0.2"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7:34" x14ac:dyDescent="0.2"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7:34" x14ac:dyDescent="0.2"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7:34" x14ac:dyDescent="0.2"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7:34" x14ac:dyDescent="0.2"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7:34" x14ac:dyDescent="0.2"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7:34" x14ac:dyDescent="0.2"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7:34" x14ac:dyDescent="0.2"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7:34" x14ac:dyDescent="0.2"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</sheetData>
  <mergeCells count="2">
    <mergeCell ref="A3:AE3"/>
    <mergeCell ref="A36:AE36"/>
  </mergeCells>
  <pageMargins left="0.7" right="0.7" top="0.75" bottom="0.75" header="0.3" footer="0.3"/>
  <pageSetup paperSize="9" scale="29" orientation="landscape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188-2009-1A4C-8FB9-14777468F0E2}">
  <sheetPr>
    <tabColor theme="0" tint="-0.499984740745262"/>
  </sheetPr>
  <dimension ref="A1:CA269"/>
  <sheetViews>
    <sheetView topLeftCell="A17" zoomScale="90" zoomScaleNormal="90" workbookViewId="0">
      <selection activeCell="I105" sqref="I105"/>
    </sheetView>
  </sheetViews>
  <sheetFormatPr baseColWidth="10" defaultColWidth="11.3984375" defaultRowHeight="14" x14ac:dyDescent="0.2"/>
  <cols>
    <col min="1" max="1" width="18.59765625" customWidth="1"/>
    <col min="2" max="2" width="19.59765625" bestFit="1" customWidth="1"/>
    <col min="3" max="3" width="12.796875" bestFit="1" customWidth="1"/>
  </cols>
  <sheetData>
    <row r="1" spans="1:16" x14ac:dyDescent="0.2">
      <c r="A1" s="32" t="s">
        <v>515</v>
      </c>
    </row>
    <row r="2" spans="1:16" x14ac:dyDescent="0.2">
      <c r="A2" s="32"/>
    </row>
    <row r="3" spans="1:16" x14ac:dyDescent="0.2">
      <c r="A3" s="120" t="s">
        <v>730</v>
      </c>
      <c r="B3" s="119"/>
      <c r="C3" s="119"/>
      <c r="D3" s="119"/>
      <c r="E3" s="119"/>
      <c r="H3" s="118" t="s">
        <v>525</v>
      </c>
      <c r="I3" s="119"/>
      <c r="J3" s="119"/>
      <c r="K3" s="119"/>
      <c r="L3" s="119"/>
      <c r="M3" s="119"/>
      <c r="N3" s="119"/>
      <c r="O3" s="119"/>
      <c r="P3" s="119"/>
    </row>
    <row r="4" spans="1:16" ht="16" x14ac:dyDescent="0.2">
      <c r="A4" s="116" t="s">
        <v>516</v>
      </c>
      <c r="B4" s="116" t="s">
        <v>217</v>
      </c>
      <c r="C4" s="116" t="s">
        <v>218</v>
      </c>
      <c r="D4" s="116" t="s">
        <v>179</v>
      </c>
      <c r="E4" s="116" t="s">
        <v>533</v>
      </c>
      <c r="H4" s="116" t="s">
        <v>231</v>
      </c>
      <c r="I4" s="116" t="s">
        <v>516</v>
      </c>
      <c r="J4" s="133" t="s">
        <v>217</v>
      </c>
      <c r="K4" s="133" t="s">
        <v>218</v>
      </c>
      <c r="L4" s="117" t="s">
        <v>518</v>
      </c>
      <c r="M4" s="117" t="s">
        <v>519</v>
      </c>
      <c r="N4" s="117" t="s">
        <v>520</v>
      </c>
      <c r="O4" s="117" t="s">
        <v>521</v>
      </c>
      <c r="P4" s="117" t="s">
        <v>522</v>
      </c>
    </row>
    <row r="5" spans="1:16" ht="15" x14ac:dyDescent="0.2">
      <c r="A5" s="65" t="s">
        <v>517</v>
      </c>
      <c r="B5" s="65" t="s">
        <v>195</v>
      </c>
      <c r="C5" s="66" t="s">
        <v>196</v>
      </c>
      <c r="D5" s="66">
        <v>0.75</v>
      </c>
      <c r="E5" s="126">
        <v>0.36795183512793794</v>
      </c>
      <c r="H5" s="65" t="s">
        <v>523</v>
      </c>
      <c r="I5" s="65" t="s">
        <v>517</v>
      </c>
      <c r="J5" s="132" t="s">
        <v>195</v>
      </c>
      <c r="K5" s="132" t="s">
        <v>524</v>
      </c>
      <c r="L5" s="66">
        <v>6</v>
      </c>
      <c r="M5" s="66">
        <v>6.59</v>
      </c>
      <c r="N5" s="66">
        <v>7</v>
      </c>
      <c r="O5" s="66">
        <v>2.98</v>
      </c>
      <c r="P5" s="66">
        <v>3</v>
      </c>
    </row>
    <row r="6" spans="1:16" ht="15" x14ac:dyDescent="0.2">
      <c r="A6" s="65" t="s">
        <v>517</v>
      </c>
      <c r="B6" s="65" t="s">
        <v>195</v>
      </c>
      <c r="C6" s="66" t="s">
        <v>197</v>
      </c>
      <c r="D6" s="66">
        <v>1.73</v>
      </c>
      <c r="E6" s="126">
        <v>0.31068538996325501</v>
      </c>
      <c r="H6" s="65" t="s">
        <v>523</v>
      </c>
      <c r="I6" s="65" t="s">
        <v>517</v>
      </c>
      <c r="J6" s="132" t="s">
        <v>213</v>
      </c>
      <c r="K6" s="132" t="s">
        <v>524</v>
      </c>
      <c r="L6" s="66">
        <v>8.7100000000000009</v>
      </c>
      <c r="M6" s="66">
        <v>9.8699999999999992</v>
      </c>
      <c r="N6" s="66">
        <v>25</v>
      </c>
      <c r="O6" s="66">
        <v>12.96</v>
      </c>
      <c r="P6" s="66">
        <v>18.16</v>
      </c>
    </row>
    <row r="7" spans="1:16" ht="30" x14ac:dyDescent="0.2">
      <c r="A7" s="65" t="s">
        <v>517</v>
      </c>
      <c r="B7" s="65" t="s">
        <v>195</v>
      </c>
      <c r="C7" s="66" t="s">
        <v>198</v>
      </c>
      <c r="D7" s="66">
        <v>0.93</v>
      </c>
      <c r="E7" s="126">
        <v>0.93365991364995016</v>
      </c>
      <c r="H7" s="65" t="s">
        <v>523</v>
      </c>
      <c r="I7" s="65" t="s">
        <v>517</v>
      </c>
      <c r="J7" s="132" t="s">
        <v>180</v>
      </c>
      <c r="K7" s="134" t="s">
        <v>181</v>
      </c>
      <c r="L7" s="66">
        <v>8.1999999999999993</v>
      </c>
      <c r="M7" s="66">
        <v>25.47</v>
      </c>
      <c r="N7" s="66">
        <v>9</v>
      </c>
      <c r="O7" s="66">
        <v>12.33</v>
      </c>
      <c r="P7" s="66">
        <v>2</v>
      </c>
    </row>
    <row r="8" spans="1:16" ht="15" x14ac:dyDescent="0.2">
      <c r="A8" s="65" t="s">
        <v>517</v>
      </c>
      <c r="B8" s="65" t="s">
        <v>195</v>
      </c>
      <c r="C8" s="66" t="s">
        <v>199</v>
      </c>
      <c r="D8" s="66">
        <v>0.93</v>
      </c>
      <c r="E8" s="126">
        <v>0.83510638297872342</v>
      </c>
      <c r="H8" s="65" t="s">
        <v>523</v>
      </c>
      <c r="I8" s="65" t="s">
        <v>517</v>
      </c>
      <c r="J8" s="132" t="s">
        <v>182</v>
      </c>
      <c r="K8" s="132" t="s">
        <v>183</v>
      </c>
      <c r="L8" s="66">
        <v>10</v>
      </c>
      <c r="M8" s="66">
        <v>0.21</v>
      </c>
      <c r="N8" s="66">
        <v>5</v>
      </c>
      <c r="O8" s="66">
        <v>7</v>
      </c>
      <c r="P8" s="66">
        <v>4</v>
      </c>
    </row>
    <row r="9" spans="1:16" ht="15" x14ac:dyDescent="0.2">
      <c r="A9" s="65" t="s">
        <v>517</v>
      </c>
      <c r="B9" s="65" t="s">
        <v>195</v>
      </c>
      <c r="C9" s="66" t="s">
        <v>200</v>
      </c>
      <c r="D9" s="66">
        <v>1.91</v>
      </c>
      <c r="E9" s="126">
        <v>0.64532019704433496</v>
      </c>
      <c r="H9" s="65" t="s">
        <v>523</v>
      </c>
      <c r="I9" s="65" t="s">
        <v>517</v>
      </c>
      <c r="J9" s="132" t="s">
        <v>182</v>
      </c>
      <c r="K9" s="132" t="s">
        <v>184</v>
      </c>
      <c r="L9" s="66">
        <v>10</v>
      </c>
      <c r="M9" s="66">
        <v>0.2</v>
      </c>
      <c r="N9" s="66">
        <v>5</v>
      </c>
      <c r="O9" s="66">
        <v>7</v>
      </c>
      <c r="P9" s="66">
        <v>4</v>
      </c>
    </row>
    <row r="10" spans="1:16" ht="15" x14ac:dyDescent="0.2">
      <c r="A10" s="65" t="s">
        <v>517</v>
      </c>
      <c r="B10" s="65" t="s">
        <v>195</v>
      </c>
      <c r="C10" s="66" t="s">
        <v>201</v>
      </c>
      <c r="D10" s="66">
        <v>0.7</v>
      </c>
      <c r="E10" s="126">
        <v>0.83836157630571984</v>
      </c>
      <c r="H10" s="65" t="s">
        <v>523</v>
      </c>
      <c r="I10" s="65" t="s">
        <v>517</v>
      </c>
      <c r="J10" s="132" t="s">
        <v>182</v>
      </c>
      <c r="K10" s="132" t="s">
        <v>216</v>
      </c>
      <c r="L10" s="66">
        <v>6</v>
      </c>
      <c r="M10" s="66">
        <v>0.47</v>
      </c>
      <c r="N10" s="66">
        <v>5</v>
      </c>
      <c r="O10" s="66">
        <v>7</v>
      </c>
      <c r="P10" s="66">
        <v>4</v>
      </c>
    </row>
    <row r="11" spans="1:16" ht="15" x14ac:dyDescent="0.2">
      <c r="A11" s="65" t="s">
        <v>517</v>
      </c>
      <c r="B11" s="65" t="s">
        <v>195</v>
      </c>
      <c r="C11" s="66" t="s">
        <v>202</v>
      </c>
      <c r="D11" s="66">
        <v>0.93</v>
      </c>
      <c r="E11" s="126">
        <v>0.125</v>
      </c>
      <c r="H11" s="65" t="s">
        <v>523</v>
      </c>
      <c r="I11" s="65" t="s">
        <v>517</v>
      </c>
      <c r="J11" s="132" t="s">
        <v>182</v>
      </c>
      <c r="K11" s="132" t="s">
        <v>186</v>
      </c>
      <c r="L11" s="66">
        <v>8</v>
      </c>
      <c r="M11" s="66">
        <v>0.97</v>
      </c>
      <c r="N11" s="66">
        <v>5</v>
      </c>
      <c r="O11" s="66">
        <v>7</v>
      </c>
      <c r="P11" s="66">
        <v>4</v>
      </c>
    </row>
    <row r="12" spans="1:16" ht="15" x14ac:dyDescent="0.2">
      <c r="A12" s="65" t="s">
        <v>517</v>
      </c>
      <c r="B12" s="65" t="s">
        <v>195</v>
      </c>
      <c r="C12" s="66" t="s">
        <v>203</v>
      </c>
      <c r="D12" s="66">
        <v>0.46</v>
      </c>
      <c r="E12" s="126">
        <v>0.91825351029044044</v>
      </c>
      <c r="H12" s="65" t="s">
        <v>523</v>
      </c>
      <c r="I12" s="65" t="s">
        <v>517</v>
      </c>
      <c r="J12" s="132" t="s">
        <v>187</v>
      </c>
      <c r="K12" s="132" t="s">
        <v>188</v>
      </c>
      <c r="L12" s="66">
        <v>8</v>
      </c>
      <c r="M12" s="66">
        <v>7.23</v>
      </c>
      <c r="N12" s="66">
        <v>0.1</v>
      </c>
      <c r="O12" s="66">
        <v>3</v>
      </c>
      <c r="P12" s="66">
        <v>2</v>
      </c>
    </row>
    <row r="13" spans="1:16" x14ac:dyDescent="0.2">
      <c r="A13" s="65" t="s">
        <v>517</v>
      </c>
      <c r="B13" s="65" t="s">
        <v>195</v>
      </c>
      <c r="C13" s="65" t="s">
        <v>204</v>
      </c>
      <c r="D13" s="66">
        <v>0.93</v>
      </c>
      <c r="E13" s="126">
        <v>0.89187383204031934</v>
      </c>
      <c r="H13" s="65" t="s">
        <v>523</v>
      </c>
      <c r="I13" s="65" t="s">
        <v>517</v>
      </c>
      <c r="J13" s="132" t="s">
        <v>187</v>
      </c>
      <c r="K13" s="132" t="s">
        <v>189</v>
      </c>
      <c r="L13" s="66">
        <v>3.5</v>
      </c>
      <c r="M13" s="66">
        <v>4.68</v>
      </c>
      <c r="N13" s="66">
        <v>2</v>
      </c>
      <c r="O13" s="66">
        <v>10</v>
      </c>
      <c r="P13" s="66">
        <v>1</v>
      </c>
    </row>
    <row r="14" spans="1:16" ht="15" x14ac:dyDescent="0.2">
      <c r="A14" s="65" t="s">
        <v>517</v>
      </c>
      <c r="B14" s="65" t="s">
        <v>205</v>
      </c>
      <c r="C14" s="66" t="s">
        <v>206</v>
      </c>
      <c r="D14" s="66">
        <v>0.34</v>
      </c>
      <c r="E14" s="126">
        <v>1</v>
      </c>
      <c r="H14" s="65" t="s">
        <v>523</v>
      </c>
      <c r="I14" s="65" t="s">
        <v>517</v>
      </c>
      <c r="J14" s="132" t="s">
        <v>190</v>
      </c>
      <c r="K14" s="132" t="s">
        <v>524</v>
      </c>
      <c r="L14" s="66">
        <v>7</v>
      </c>
      <c r="M14" s="66">
        <v>3.4</v>
      </c>
      <c r="N14" s="66">
        <v>8</v>
      </c>
      <c r="O14" s="66">
        <v>2</v>
      </c>
      <c r="P14" s="66">
        <v>1</v>
      </c>
    </row>
    <row r="15" spans="1:16" ht="15" x14ac:dyDescent="0.2">
      <c r="A15" s="65" t="s">
        <v>517</v>
      </c>
      <c r="B15" s="65" t="s">
        <v>205</v>
      </c>
      <c r="C15" s="66" t="s">
        <v>207</v>
      </c>
      <c r="D15" s="66">
        <v>0.45</v>
      </c>
      <c r="E15" s="126">
        <v>0.99620668223998632</v>
      </c>
      <c r="H15" s="65" t="s">
        <v>523</v>
      </c>
      <c r="I15" s="65" t="s">
        <v>517</v>
      </c>
      <c r="J15" s="132" t="s">
        <v>193</v>
      </c>
      <c r="K15" s="132" t="s">
        <v>194</v>
      </c>
      <c r="L15" s="66">
        <v>8.15</v>
      </c>
      <c r="M15" s="66">
        <v>12.11</v>
      </c>
      <c r="N15" s="66">
        <v>10</v>
      </c>
      <c r="O15" s="66">
        <v>10.78</v>
      </c>
      <c r="P15" s="66">
        <v>3.88</v>
      </c>
    </row>
    <row r="16" spans="1:16" ht="15" x14ac:dyDescent="0.2">
      <c r="A16" s="65" t="s">
        <v>517</v>
      </c>
      <c r="B16" s="65" t="s">
        <v>205</v>
      </c>
      <c r="C16" s="66" t="s">
        <v>208</v>
      </c>
      <c r="D16" s="66">
        <v>0.23</v>
      </c>
      <c r="E16" s="126">
        <v>1</v>
      </c>
    </row>
    <row r="17" spans="1:5" ht="15" x14ac:dyDescent="0.2">
      <c r="A17" s="65" t="s">
        <v>517</v>
      </c>
      <c r="B17" s="65" t="s">
        <v>205</v>
      </c>
      <c r="C17" s="66" t="s">
        <v>209</v>
      </c>
      <c r="D17" s="66">
        <v>0.62</v>
      </c>
      <c r="E17" s="126">
        <v>1</v>
      </c>
    </row>
    <row r="18" spans="1:5" ht="15" x14ac:dyDescent="0.2">
      <c r="A18" s="65" t="s">
        <v>517</v>
      </c>
      <c r="B18" s="65" t="s">
        <v>205</v>
      </c>
      <c r="C18" s="66" t="s">
        <v>210</v>
      </c>
      <c r="D18" s="66">
        <v>0.84</v>
      </c>
      <c r="E18" s="126">
        <v>1</v>
      </c>
    </row>
    <row r="19" spans="1:5" ht="15" x14ac:dyDescent="0.2">
      <c r="A19" s="65" t="s">
        <v>517</v>
      </c>
      <c r="B19" s="65" t="s">
        <v>205</v>
      </c>
      <c r="C19" s="66" t="s">
        <v>211</v>
      </c>
      <c r="D19" s="66">
        <v>0.81</v>
      </c>
      <c r="E19" s="126">
        <v>0.99988602377999858</v>
      </c>
    </row>
    <row r="20" spans="1:5" ht="30" x14ac:dyDescent="0.2">
      <c r="A20" s="65" t="s">
        <v>517</v>
      </c>
      <c r="B20" s="65" t="s">
        <v>180</v>
      </c>
      <c r="C20" s="66" t="s">
        <v>181</v>
      </c>
      <c r="D20" s="66">
        <v>5.29</v>
      </c>
      <c r="E20" s="126">
        <v>0.91631202515818311</v>
      </c>
    </row>
    <row r="21" spans="1:5" ht="15" x14ac:dyDescent="0.2">
      <c r="A21" s="65" t="s">
        <v>517</v>
      </c>
      <c r="B21" s="65" t="s">
        <v>182</v>
      </c>
      <c r="C21" s="66" t="s">
        <v>183</v>
      </c>
      <c r="D21" s="66">
        <v>39.08</v>
      </c>
      <c r="E21" s="126">
        <v>1</v>
      </c>
    </row>
    <row r="22" spans="1:5" ht="30" x14ac:dyDescent="0.2">
      <c r="A22" s="65" t="s">
        <v>517</v>
      </c>
      <c r="B22" s="65" t="s">
        <v>182</v>
      </c>
      <c r="C22" s="66" t="s">
        <v>184</v>
      </c>
      <c r="D22" s="66">
        <v>15.71</v>
      </c>
      <c r="E22" s="126">
        <v>1</v>
      </c>
    </row>
    <row r="23" spans="1:5" ht="15" x14ac:dyDescent="0.2">
      <c r="A23" s="65" t="s">
        <v>517</v>
      </c>
      <c r="B23" s="65" t="s">
        <v>182</v>
      </c>
      <c r="C23" s="66" t="s">
        <v>185</v>
      </c>
      <c r="D23" s="66">
        <v>6.92</v>
      </c>
      <c r="E23" s="126">
        <v>1</v>
      </c>
    </row>
    <row r="24" spans="1:5" ht="15" x14ac:dyDescent="0.2">
      <c r="A24" s="65" t="s">
        <v>517</v>
      </c>
      <c r="B24" s="65" t="s">
        <v>182</v>
      </c>
      <c r="C24" s="66" t="s">
        <v>186</v>
      </c>
      <c r="D24" s="66">
        <v>4.68</v>
      </c>
      <c r="E24" s="126">
        <v>0.98089290131090778</v>
      </c>
    </row>
    <row r="25" spans="1:5" ht="15" x14ac:dyDescent="0.2">
      <c r="A25" s="65" t="s">
        <v>517</v>
      </c>
      <c r="B25" s="65" t="s">
        <v>187</v>
      </c>
      <c r="C25" s="66" t="s">
        <v>188</v>
      </c>
      <c r="D25" s="66">
        <v>3.06</v>
      </c>
      <c r="E25" s="126">
        <v>0.90840605653762962</v>
      </c>
    </row>
    <row r="26" spans="1:5" ht="15" x14ac:dyDescent="0.2">
      <c r="A26" s="65" t="s">
        <v>517</v>
      </c>
      <c r="B26" s="65" t="s">
        <v>187</v>
      </c>
      <c r="C26" s="66" t="s">
        <v>189</v>
      </c>
      <c r="D26" s="66">
        <v>2.31</v>
      </c>
      <c r="E26" s="126">
        <v>0.8333769781866931</v>
      </c>
    </row>
    <row r="27" spans="1:5" ht="15" x14ac:dyDescent="0.2">
      <c r="A27" s="65" t="s">
        <v>517</v>
      </c>
      <c r="B27" s="65" t="s">
        <v>190</v>
      </c>
      <c r="C27" s="66" t="s">
        <v>191</v>
      </c>
      <c r="D27" s="66">
        <v>1.96</v>
      </c>
      <c r="E27" s="126">
        <v>0.95656293237765</v>
      </c>
    </row>
    <row r="28" spans="1:5" ht="15" x14ac:dyDescent="0.2">
      <c r="A28" s="65" t="s">
        <v>517</v>
      </c>
      <c r="B28" s="65" t="s">
        <v>190</v>
      </c>
      <c r="C28" s="66" t="s">
        <v>192</v>
      </c>
      <c r="D28" s="66">
        <v>0.34</v>
      </c>
      <c r="E28" s="126">
        <v>0.78076999236230937</v>
      </c>
    </row>
    <row r="29" spans="1:5" ht="15" x14ac:dyDescent="0.2">
      <c r="A29" s="65" t="s">
        <v>517</v>
      </c>
      <c r="B29" s="65" t="s">
        <v>193</v>
      </c>
      <c r="C29" s="66" t="s">
        <v>194</v>
      </c>
      <c r="D29" s="66">
        <v>0.16</v>
      </c>
      <c r="E29" s="126">
        <v>0.7323126918216285</v>
      </c>
    </row>
    <row r="34" spans="1:19" x14ac:dyDescent="0.2">
      <c r="A34" s="120" t="s">
        <v>539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</row>
    <row r="35" spans="1:19" ht="45" x14ac:dyDescent="0.2">
      <c r="A35" s="121" t="s">
        <v>231</v>
      </c>
      <c r="B35" s="121" t="s">
        <v>2</v>
      </c>
      <c r="C35" s="121" t="s">
        <v>516</v>
      </c>
      <c r="D35" s="121" t="s">
        <v>217</v>
      </c>
      <c r="E35" s="121" t="s">
        <v>218</v>
      </c>
      <c r="F35" s="122" t="s">
        <v>226</v>
      </c>
      <c r="G35" s="122" t="s">
        <v>526</v>
      </c>
      <c r="H35" s="122" t="s">
        <v>527</v>
      </c>
      <c r="I35" s="122" t="s">
        <v>528</v>
      </c>
      <c r="J35" s="122" t="s">
        <v>529</v>
      </c>
      <c r="K35" s="122" t="s">
        <v>530</v>
      </c>
      <c r="L35" s="122" t="s">
        <v>531</v>
      </c>
      <c r="M35" s="122" t="s">
        <v>532</v>
      </c>
      <c r="N35" s="123" t="s">
        <v>533</v>
      </c>
      <c r="O35" s="123" t="s">
        <v>534</v>
      </c>
      <c r="P35" s="123" t="s">
        <v>535</v>
      </c>
      <c r="Q35" s="123" t="s">
        <v>536</v>
      </c>
      <c r="R35" s="123" t="s">
        <v>537</v>
      </c>
      <c r="S35" s="123" t="s">
        <v>538</v>
      </c>
    </row>
    <row r="36" spans="1:19" x14ac:dyDescent="0.2">
      <c r="A36" s="124">
        <v>2018</v>
      </c>
      <c r="B36" s="124">
        <v>2018</v>
      </c>
      <c r="C36" s="124" t="s">
        <v>517</v>
      </c>
      <c r="D36" s="124" t="s">
        <v>195</v>
      </c>
      <c r="E36" s="124" t="s">
        <v>196</v>
      </c>
      <c r="F36" s="125">
        <v>4853</v>
      </c>
      <c r="G36" s="125">
        <v>4477</v>
      </c>
      <c r="H36" s="125">
        <v>416</v>
      </c>
      <c r="I36" s="125">
        <v>276</v>
      </c>
      <c r="J36" s="125">
        <v>8637</v>
      </c>
      <c r="K36" s="125">
        <v>5257</v>
      </c>
      <c r="L36" s="125">
        <v>202</v>
      </c>
      <c r="M36" s="125">
        <v>0</v>
      </c>
      <c r="N36" s="126">
        <v>0.36795183512793794</v>
      </c>
      <c r="O36" s="126">
        <v>1785.67025587588</v>
      </c>
      <c r="P36" s="126">
        <v>3071.227736482575</v>
      </c>
      <c r="Q36" s="126">
        <v>2868.8338286483731</v>
      </c>
      <c r="R36" s="126">
        <v>2668.0154606429869</v>
      </c>
      <c r="S36" s="126">
        <v>2588.5085999158259</v>
      </c>
    </row>
    <row r="37" spans="1:19" x14ac:dyDescent="0.2">
      <c r="A37" s="124">
        <v>2018</v>
      </c>
      <c r="B37" s="124">
        <v>2018</v>
      </c>
      <c r="C37" s="124" t="s">
        <v>517</v>
      </c>
      <c r="D37" s="124" t="s">
        <v>195</v>
      </c>
      <c r="E37" s="124" t="s">
        <v>197</v>
      </c>
      <c r="F37" s="125">
        <v>93280</v>
      </c>
      <c r="G37" s="125">
        <v>29441</v>
      </c>
      <c r="H37" s="125">
        <v>3840</v>
      </c>
      <c r="I37" s="125">
        <v>2948</v>
      </c>
      <c r="J37" s="125">
        <v>115934</v>
      </c>
      <c r="K37" s="125">
        <v>55631</v>
      </c>
      <c r="L37" s="125">
        <v>1327</v>
      </c>
      <c r="M37" s="125">
        <v>22957</v>
      </c>
      <c r="N37" s="126">
        <v>0.31068538996325501</v>
      </c>
      <c r="O37" s="126">
        <v>28980.733175772428</v>
      </c>
      <c r="P37" s="126">
        <v>34279.845324063695</v>
      </c>
      <c r="Q37" s="126">
        <v>32020.803517207896</v>
      </c>
      <c r="R37" s="126">
        <v>29779.347271003342</v>
      </c>
      <c r="S37" s="126">
        <v>28891.922722327443</v>
      </c>
    </row>
    <row r="38" spans="1:19" x14ac:dyDescent="0.2">
      <c r="A38" s="124">
        <v>2018</v>
      </c>
      <c r="B38" s="124">
        <v>2018</v>
      </c>
      <c r="C38" s="124" t="s">
        <v>517</v>
      </c>
      <c r="D38" s="124" t="s">
        <v>195</v>
      </c>
      <c r="E38" s="124" t="s">
        <v>198</v>
      </c>
      <c r="F38" s="125">
        <v>12525</v>
      </c>
      <c r="G38" s="125">
        <v>108</v>
      </c>
      <c r="H38" s="125">
        <v>507</v>
      </c>
      <c r="I38" s="125">
        <v>82</v>
      </c>
      <c r="J38" s="125">
        <v>12044</v>
      </c>
      <c r="K38" s="125">
        <v>519</v>
      </c>
      <c r="L38" s="125">
        <v>280</v>
      </c>
      <c r="M38" s="125">
        <v>0</v>
      </c>
      <c r="N38" s="126">
        <v>0.93365991364995016</v>
      </c>
      <c r="O38" s="126">
        <v>11694.090418465626</v>
      </c>
      <c r="P38" s="126">
        <v>10543.354574892062</v>
      </c>
      <c r="Q38" s="126">
        <v>9848.5475084066748</v>
      </c>
      <c r="R38" s="126">
        <v>9159.1491828182079</v>
      </c>
      <c r="S38" s="126">
        <v>8886.2065371702247</v>
      </c>
    </row>
    <row r="39" spans="1:19" x14ac:dyDescent="0.2">
      <c r="A39" s="124">
        <v>2018</v>
      </c>
      <c r="B39" s="124">
        <v>2018</v>
      </c>
      <c r="C39" s="124" t="s">
        <v>517</v>
      </c>
      <c r="D39" s="124" t="s">
        <v>195</v>
      </c>
      <c r="E39" s="124" t="s">
        <v>199</v>
      </c>
      <c r="F39" s="125">
        <v>0</v>
      </c>
      <c r="G39" s="125">
        <v>228</v>
      </c>
      <c r="H39" s="125">
        <v>5</v>
      </c>
      <c r="I39" s="125">
        <v>35</v>
      </c>
      <c r="J39" s="125">
        <v>188</v>
      </c>
      <c r="K39" s="125">
        <v>31</v>
      </c>
      <c r="L39" s="125">
        <v>0</v>
      </c>
      <c r="M39" s="125">
        <v>0</v>
      </c>
      <c r="N39" s="126">
        <v>0.83510638297872342</v>
      </c>
      <c r="O39" s="126">
        <v>0</v>
      </c>
      <c r="P39" s="126">
        <v>157</v>
      </c>
      <c r="Q39" s="126">
        <v>146.65370000000001</v>
      </c>
      <c r="R39" s="126">
        <v>136.38794100000001</v>
      </c>
      <c r="S39" s="126">
        <v>132.32358035820002</v>
      </c>
    </row>
    <row r="40" spans="1:19" x14ac:dyDescent="0.2">
      <c r="A40" s="124">
        <v>2018</v>
      </c>
      <c r="B40" s="124">
        <v>2018</v>
      </c>
      <c r="C40" s="124" t="s">
        <v>517</v>
      </c>
      <c r="D40" s="124" t="s">
        <v>195</v>
      </c>
      <c r="E40" s="124" t="s">
        <v>212</v>
      </c>
      <c r="F40" s="125">
        <v>505</v>
      </c>
      <c r="G40" s="125">
        <v>90</v>
      </c>
      <c r="H40" s="125">
        <v>22</v>
      </c>
      <c r="I40" s="125">
        <v>370</v>
      </c>
      <c r="J40" s="125">
        <v>203</v>
      </c>
      <c r="K40" s="125">
        <v>63</v>
      </c>
      <c r="L40" s="125">
        <v>8</v>
      </c>
      <c r="M40" s="125">
        <v>1</v>
      </c>
      <c r="N40" s="126">
        <v>0.64532019704433496</v>
      </c>
      <c r="O40" s="126">
        <v>325.88669950738915</v>
      </c>
      <c r="P40" s="126">
        <v>111.44679802955665</v>
      </c>
      <c r="Q40" s="126">
        <v>104.10245403940887</v>
      </c>
      <c r="R40" s="126">
        <v>96.815282256650249</v>
      </c>
      <c r="S40" s="126">
        <v>93.930186845402076</v>
      </c>
    </row>
    <row r="41" spans="1:19" x14ac:dyDescent="0.2">
      <c r="A41" s="124">
        <v>2018</v>
      </c>
      <c r="B41" s="124">
        <v>2018</v>
      </c>
      <c r="C41" s="124" t="s">
        <v>517</v>
      </c>
      <c r="D41" s="124" t="s">
        <v>195</v>
      </c>
      <c r="E41" s="124" t="s">
        <v>200</v>
      </c>
      <c r="F41" s="125">
        <v>470722</v>
      </c>
      <c r="G41" s="125">
        <v>13524</v>
      </c>
      <c r="H41" s="125">
        <v>30503</v>
      </c>
      <c r="I41" s="125">
        <v>51282</v>
      </c>
      <c r="J41" s="125">
        <v>402460</v>
      </c>
      <c r="K41" s="125">
        <v>23673</v>
      </c>
      <c r="L41" s="125">
        <v>9394</v>
      </c>
      <c r="M41" s="125">
        <v>31986</v>
      </c>
      <c r="N41" s="126">
        <v>0.83836157630571984</v>
      </c>
      <c r="O41" s="126">
        <v>394635.23792178108</v>
      </c>
      <c r="P41" s="126">
        <v>313729.72408626945</v>
      </c>
      <c r="Q41" s="126">
        <v>293054.93526898429</v>
      </c>
      <c r="R41" s="126">
        <v>272541.08980015537</v>
      </c>
      <c r="S41" s="126">
        <v>264419.36532411072</v>
      </c>
    </row>
    <row r="42" spans="1:19" x14ac:dyDescent="0.2">
      <c r="A42" s="124">
        <v>2018</v>
      </c>
      <c r="B42" s="124">
        <v>2018</v>
      </c>
      <c r="C42" s="124" t="s">
        <v>517</v>
      </c>
      <c r="D42" s="124" t="s">
        <v>195</v>
      </c>
      <c r="E42" s="124" t="s">
        <v>201</v>
      </c>
      <c r="F42" s="125">
        <v>0</v>
      </c>
      <c r="G42" s="125">
        <v>7</v>
      </c>
      <c r="H42" s="125">
        <v>0</v>
      </c>
      <c r="I42" s="125">
        <v>0</v>
      </c>
      <c r="J42" s="125">
        <v>8</v>
      </c>
      <c r="K42" s="125">
        <v>1</v>
      </c>
      <c r="L42" s="125">
        <v>0</v>
      </c>
      <c r="M42" s="125">
        <v>6</v>
      </c>
      <c r="N42" s="126">
        <v>0.125</v>
      </c>
      <c r="O42" s="126">
        <v>0</v>
      </c>
      <c r="P42" s="126">
        <v>0.875</v>
      </c>
      <c r="Q42" s="126">
        <v>0.81733750000000005</v>
      </c>
      <c r="R42" s="126">
        <v>0.760123875</v>
      </c>
      <c r="S42" s="126">
        <v>0.73747218352499999</v>
      </c>
    </row>
    <row r="43" spans="1:19" x14ac:dyDescent="0.2">
      <c r="A43" s="124">
        <v>2018</v>
      </c>
      <c r="B43" s="124">
        <v>2018</v>
      </c>
      <c r="C43" s="124" t="s">
        <v>517</v>
      </c>
      <c r="D43" s="124" t="s">
        <v>195</v>
      </c>
      <c r="E43" s="124" t="s">
        <v>202</v>
      </c>
      <c r="F43" s="125">
        <v>5205</v>
      </c>
      <c r="G43" s="125">
        <v>65</v>
      </c>
      <c r="H43" s="125">
        <v>-44</v>
      </c>
      <c r="I43" s="125">
        <v>115</v>
      </c>
      <c r="J43" s="125">
        <v>5199</v>
      </c>
      <c r="K43" s="125">
        <v>257</v>
      </c>
      <c r="L43" s="125">
        <v>168</v>
      </c>
      <c r="M43" s="125">
        <v>0</v>
      </c>
      <c r="N43" s="126">
        <v>0.91825351029044044</v>
      </c>
      <c r="O43" s="126">
        <v>4779.5095210617428</v>
      </c>
      <c r="P43" s="126">
        <v>4487.2294287362956</v>
      </c>
      <c r="Q43" s="126">
        <v>4191.5210093825735</v>
      </c>
      <c r="R43" s="126">
        <v>3898.1145387257934</v>
      </c>
      <c r="S43" s="126">
        <v>3781.9507254717646</v>
      </c>
    </row>
    <row r="44" spans="1:19" x14ac:dyDescent="0.2">
      <c r="A44" s="124">
        <v>2018</v>
      </c>
      <c r="B44" s="124">
        <v>2018</v>
      </c>
      <c r="C44" s="124" t="s">
        <v>517</v>
      </c>
      <c r="D44" s="124" t="s">
        <v>195</v>
      </c>
      <c r="E44" s="124" t="s">
        <v>203</v>
      </c>
      <c r="F44" s="125">
        <v>146118</v>
      </c>
      <c r="G44" s="125">
        <v>37545</v>
      </c>
      <c r="H44" s="125">
        <v>1899</v>
      </c>
      <c r="I44" s="125">
        <v>5175</v>
      </c>
      <c r="J44" s="125">
        <v>176590</v>
      </c>
      <c r="K44" s="125">
        <v>10152</v>
      </c>
      <c r="L44" s="125">
        <v>5587</v>
      </c>
      <c r="M44" s="125">
        <v>3355</v>
      </c>
      <c r="N44" s="126">
        <v>0.89187383204031934</v>
      </c>
      <c r="O44" s="126">
        <v>130318.82059006738</v>
      </c>
      <c r="P44" s="126">
        <v>149675.97889076389</v>
      </c>
      <c r="Q44" s="126">
        <v>139812.33188186254</v>
      </c>
      <c r="R44" s="126">
        <v>130025.46865013216</v>
      </c>
      <c r="S44" s="126">
        <v>126150.70968435821</v>
      </c>
    </row>
    <row r="45" spans="1:19" x14ac:dyDescent="0.2">
      <c r="A45" s="124">
        <v>2018</v>
      </c>
      <c r="B45" s="124">
        <v>2018</v>
      </c>
      <c r="C45" s="124" t="s">
        <v>517</v>
      </c>
      <c r="D45" s="124" t="s">
        <v>213</v>
      </c>
      <c r="E45" s="124" t="s">
        <v>206</v>
      </c>
      <c r="F45" s="125">
        <v>5638</v>
      </c>
      <c r="G45" s="125">
        <v>1512</v>
      </c>
      <c r="H45" s="125">
        <v>836</v>
      </c>
      <c r="I45" s="125">
        <v>223</v>
      </c>
      <c r="J45" s="125">
        <v>6091</v>
      </c>
      <c r="K45" s="125">
        <v>0</v>
      </c>
      <c r="L45" s="125">
        <v>0</v>
      </c>
      <c r="M45" s="125">
        <v>0</v>
      </c>
      <c r="N45" s="126">
        <v>1</v>
      </c>
      <c r="O45" s="126">
        <v>5638</v>
      </c>
      <c r="P45" s="126">
        <v>5599.9301999999998</v>
      </c>
      <c r="Q45" s="126">
        <v>5047.2170892599997</v>
      </c>
      <c r="R45" s="126">
        <v>3785.4128169449996</v>
      </c>
      <c r="S45" s="126">
        <v>3294.8233158689277</v>
      </c>
    </row>
    <row r="46" spans="1:19" x14ac:dyDescent="0.2">
      <c r="A46" s="124">
        <v>2018</v>
      </c>
      <c r="B46" s="124">
        <v>2018</v>
      </c>
      <c r="C46" s="124" t="s">
        <v>517</v>
      </c>
      <c r="D46" s="124" t="s">
        <v>213</v>
      </c>
      <c r="E46" s="124" t="s">
        <v>207</v>
      </c>
      <c r="F46" s="125">
        <v>50258</v>
      </c>
      <c r="G46" s="125">
        <v>458</v>
      </c>
      <c r="H46" s="125">
        <v>0</v>
      </c>
      <c r="I46" s="125">
        <v>4055</v>
      </c>
      <c r="J46" s="125">
        <v>46661</v>
      </c>
      <c r="K46" s="125">
        <v>177</v>
      </c>
      <c r="L46" s="125">
        <v>0</v>
      </c>
      <c r="M46" s="125">
        <v>0</v>
      </c>
      <c r="N46" s="126">
        <v>0.99620668223998632</v>
      </c>
      <c r="O46" s="126">
        <v>50067.355436017235</v>
      </c>
      <c r="P46" s="126">
        <v>42123.133341522902</v>
      </c>
      <c r="Q46" s="126">
        <v>37965.580080714593</v>
      </c>
      <c r="R46" s="126">
        <v>28474.185060535943</v>
      </c>
      <c r="S46" s="126">
        <v>24783.930676690485</v>
      </c>
    </row>
    <row r="47" spans="1:19" x14ac:dyDescent="0.2">
      <c r="A47" s="124">
        <v>2018</v>
      </c>
      <c r="B47" s="124">
        <v>2018</v>
      </c>
      <c r="C47" s="124" t="s">
        <v>517</v>
      </c>
      <c r="D47" s="124" t="s">
        <v>213</v>
      </c>
      <c r="E47" s="124" t="s">
        <v>208</v>
      </c>
      <c r="F47" s="125">
        <v>24679</v>
      </c>
      <c r="G47" s="125">
        <v>1799</v>
      </c>
      <c r="H47" s="125">
        <v>364</v>
      </c>
      <c r="I47" s="125">
        <v>832</v>
      </c>
      <c r="J47" s="125">
        <v>25080</v>
      </c>
      <c r="K47" s="125">
        <v>0</v>
      </c>
      <c r="L47" s="125">
        <v>0</v>
      </c>
      <c r="M47" s="125">
        <v>0</v>
      </c>
      <c r="N47" s="126">
        <v>1</v>
      </c>
      <c r="O47" s="126">
        <v>24679</v>
      </c>
      <c r="P47" s="126">
        <v>23132.4591</v>
      </c>
      <c r="Q47" s="126">
        <v>20849.285386830001</v>
      </c>
      <c r="R47" s="126">
        <v>15636.964040122501</v>
      </c>
      <c r="S47" s="126">
        <v>13610.413500522624</v>
      </c>
    </row>
    <row r="48" spans="1:19" x14ac:dyDescent="0.2">
      <c r="A48" s="124">
        <v>2018</v>
      </c>
      <c r="B48" s="124">
        <v>2018</v>
      </c>
      <c r="C48" s="124" t="s">
        <v>517</v>
      </c>
      <c r="D48" s="124" t="s">
        <v>213</v>
      </c>
      <c r="E48" s="124" t="s">
        <v>209</v>
      </c>
      <c r="F48" s="125">
        <v>6111</v>
      </c>
      <c r="G48" s="125">
        <v>801</v>
      </c>
      <c r="H48" s="125">
        <v>0</v>
      </c>
      <c r="I48" s="125">
        <v>1023</v>
      </c>
      <c r="J48" s="125">
        <v>5889</v>
      </c>
      <c r="K48" s="125">
        <v>0</v>
      </c>
      <c r="L48" s="125">
        <v>0</v>
      </c>
      <c r="M48" s="125">
        <v>0</v>
      </c>
      <c r="N48" s="126">
        <v>1</v>
      </c>
      <c r="O48" s="126">
        <v>6111</v>
      </c>
      <c r="P48" s="126">
        <v>5356.7318999999998</v>
      </c>
      <c r="Q48" s="126">
        <v>4828.0224614700001</v>
      </c>
      <c r="R48" s="126">
        <v>3621.0168461025</v>
      </c>
      <c r="S48" s="126">
        <v>3151.7330628476161</v>
      </c>
    </row>
    <row r="49" spans="1:19" x14ac:dyDescent="0.2">
      <c r="A49" s="124">
        <v>2018</v>
      </c>
      <c r="B49" s="124">
        <v>2018</v>
      </c>
      <c r="C49" s="124" t="s">
        <v>517</v>
      </c>
      <c r="D49" s="124" t="s">
        <v>213</v>
      </c>
      <c r="E49" s="124" t="s">
        <v>214</v>
      </c>
      <c r="F49" s="125">
        <v>81986</v>
      </c>
      <c r="G49" s="125">
        <v>2739</v>
      </c>
      <c r="H49" s="125">
        <v>472</v>
      </c>
      <c r="I49" s="125">
        <v>5809</v>
      </c>
      <c r="J49" s="125">
        <v>78444</v>
      </c>
      <c r="K49" s="125">
        <v>0</v>
      </c>
      <c r="L49" s="125">
        <v>0</v>
      </c>
      <c r="M49" s="125">
        <v>0</v>
      </c>
      <c r="N49" s="126">
        <v>1</v>
      </c>
      <c r="O49" s="126">
        <v>81986</v>
      </c>
      <c r="P49" s="126">
        <v>71303.019400000005</v>
      </c>
      <c r="Q49" s="126">
        <v>64265.411385220003</v>
      </c>
      <c r="R49" s="126">
        <v>48199.058538915</v>
      </c>
      <c r="S49" s="126">
        <v>41952.460552271616</v>
      </c>
    </row>
    <row r="50" spans="1:19" x14ac:dyDescent="0.2">
      <c r="A50" s="124">
        <v>2018</v>
      </c>
      <c r="B50" s="124">
        <v>2018</v>
      </c>
      <c r="C50" s="124" t="s">
        <v>517</v>
      </c>
      <c r="D50" s="124" t="s">
        <v>213</v>
      </c>
      <c r="E50" s="124" t="s">
        <v>211</v>
      </c>
      <c r="F50" s="125">
        <v>219814</v>
      </c>
      <c r="G50" s="125">
        <v>6693</v>
      </c>
      <c r="H50" s="125">
        <v>896</v>
      </c>
      <c r="I50" s="125">
        <v>6267</v>
      </c>
      <c r="J50" s="125">
        <v>219344</v>
      </c>
      <c r="K50" s="125">
        <v>24</v>
      </c>
      <c r="L50" s="125">
        <v>0</v>
      </c>
      <c r="M50" s="125">
        <v>1</v>
      </c>
      <c r="N50" s="126">
        <v>0.99988602377999858</v>
      </c>
      <c r="O50" s="126">
        <v>219788.94643117662</v>
      </c>
      <c r="P50" s="126">
        <v>200175.38276584455</v>
      </c>
      <c r="Q50" s="126">
        <v>180418.0724868557</v>
      </c>
      <c r="R50" s="126">
        <v>135313.55436514178</v>
      </c>
      <c r="S50" s="126">
        <v>117776.91771941941</v>
      </c>
    </row>
    <row r="51" spans="1:19" x14ac:dyDescent="0.2">
      <c r="A51" s="124">
        <v>2018</v>
      </c>
      <c r="B51" s="124">
        <v>2018</v>
      </c>
      <c r="C51" s="124" t="s">
        <v>517</v>
      </c>
      <c r="D51" s="124" t="s">
        <v>180</v>
      </c>
      <c r="E51" s="124" t="s">
        <v>181</v>
      </c>
      <c r="F51" s="127">
        <v>49218.66</v>
      </c>
      <c r="G51" s="127">
        <v>6178.31</v>
      </c>
      <c r="H51" s="127">
        <v>23</v>
      </c>
      <c r="I51" s="127">
        <v>10952.54</v>
      </c>
      <c r="J51" s="127">
        <v>44467.44</v>
      </c>
      <c r="K51" s="127">
        <v>3269.47</v>
      </c>
      <c r="L51" s="127">
        <v>0</v>
      </c>
      <c r="M51" s="127">
        <v>451.92</v>
      </c>
      <c r="N51" s="126">
        <v>0.91631202515818311</v>
      </c>
      <c r="O51" s="126">
        <v>45099.650020172063</v>
      </c>
      <c r="P51" s="126">
        <v>37005.719182068358</v>
      </c>
      <c r="Q51" s="126">
        <v>27580.362506395548</v>
      </c>
      <c r="R51" s="126">
        <v>25098.12988081995</v>
      </c>
      <c r="S51" s="126">
        <v>22003.530466514851</v>
      </c>
    </row>
    <row r="52" spans="1:19" x14ac:dyDescent="0.2">
      <c r="A52" s="124">
        <v>2018</v>
      </c>
      <c r="B52" s="124">
        <v>2018</v>
      </c>
      <c r="C52" s="124" t="s">
        <v>517</v>
      </c>
      <c r="D52" s="124" t="s">
        <v>182</v>
      </c>
      <c r="E52" s="124" t="s">
        <v>215</v>
      </c>
      <c r="F52" s="125">
        <v>7714</v>
      </c>
      <c r="G52" s="125">
        <v>1386</v>
      </c>
      <c r="H52" s="125">
        <v>502</v>
      </c>
      <c r="I52" s="125">
        <v>1283</v>
      </c>
      <c r="J52" s="125">
        <v>7315</v>
      </c>
      <c r="K52" s="125">
        <v>0</v>
      </c>
      <c r="L52" s="125">
        <v>0</v>
      </c>
      <c r="M52" s="125">
        <v>0</v>
      </c>
      <c r="N52" s="126">
        <v>1</v>
      </c>
      <c r="O52" s="126">
        <v>7714</v>
      </c>
      <c r="P52" s="126">
        <v>6543.6</v>
      </c>
      <c r="Q52" s="126">
        <v>6529.85844</v>
      </c>
      <c r="R52" s="126">
        <v>6203.3655179999996</v>
      </c>
      <c r="S52" s="126">
        <v>5769.1299317399998</v>
      </c>
    </row>
    <row r="53" spans="1:19" x14ac:dyDescent="0.2">
      <c r="A53" s="124">
        <v>2018</v>
      </c>
      <c r="B53" s="124">
        <v>2018</v>
      </c>
      <c r="C53" s="124" t="s">
        <v>517</v>
      </c>
      <c r="D53" s="124" t="s">
        <v>182</v>
      </c>
      <c r="E53" s="124" t="s">
        <v>184</v>
      </c>
      <c r="F53" s="125">
        <v>2434</v>
      </c>
      <c r="G53" s="125">
        <v>87</v>
      </c>
      <c r="H53" s="125">
        <v>97</v>
      </c>
      <c r="I53" s="125">
        <v>22</v>
      </c>
      <c r="J53" s="125">
        <v>2401</v>
      </c>
      <c r="K53" s="125">
        <v>0</v>
      </c>
      <c r="L53" s="125">
        <v>0</v>
      </c>
      <c r="M53" s="125">
        <v>0</v>
      </c>
      <c r="N53" s="126">
        <v>1</v>
      </c>
      <c r="O53" s="126">
        <v>2434</v>
      </c>
      <c r="P53" s="126">
        <v>2158.6</v>
      </c>
      <c r="Q53" s="126">
        <v>2154.2828</v>
      </c>
      <c r="R53" s="126">
        <v>2046.5686599999999</v>
      </c>
      <c r="S53" s="126">
        <v>1903.3088538</v>
      </c>
    </row>
    <row r="54" spans="1:19" x14ac:dyDescent="0.2">
      <c r="A54" s="124">
        <v>2018</v>
      </c>
      <c r="B54" s="124">
        <v>2018</v>
      </c>
      <c r="C54" s="124" t="s">
        <v>517</v>
      </c>
      <c r="D54" s="124" t="s">
        <v>182</v>
      </c>
      <c r="E54" s="124" t="s">
        <v>216</v>
      </c>
      <c r="F54" s="125">
        <v>8797</v>
      </c>
      <c r="G54" s="125">
        <v>250</v>
      </c>
      <c r="H54" s="125">
        <v>649</v>
      </c>
      <c r="I54" s="125">
        <v>34</v>
      </c>
      <c r="J54" s="125">
        <v>8365</v>
      </c>
      <c r="K54" s="125">
        <v>0</v>
      </c>
      <c r="L54" s="125">
        <v>0</v>
      </c>
      <c r="M54" s="125">
        <v>0</v>
      </c>
      <c r="N54" s="126">
        <v>1</v>
      </c>
      <c r="O54" s="126">
        <v>8797</v>
      </c>
      <c r="P54" s="126">
        <v>7836.18</v>
      </c>
      <c r="Q54" s="126">
        <v>7799.3499540000003</v>
      </c>
      <c r="R54" s="126">
        <v>7409.3824562999998</v>
      </c>
      <c r="S54" s="126">
        <v>6890.7256843590003</v>
      </c>
    </row>
    <row r="55" spans="1:19" x14ac:dyDescent="0.2">
      <c r="A55" s="124">
        <v>2018</v>
      </c>
      <c r="B55" s="124">
        <v>2018</v>
      </c>
      <c r="C55" s="124" t="s">
        <v>517</v>
      </c>
      <c r="D55" s="124" t="s">
        <v>182</v>
      </c>
      <c r="E55" s="124" t="s">
        <v>186</v>
      </c>
      <c r="F55" s="125">
        <v>18047</v>
      </c>
      <c r="G55" s="125">
        <v>1054</v>
      </c>
      <c r="H55" s="125">
        <v>1995</v>
      </c>
      <c r="I55" s="125">
        <v>932</v>
      </c>
      <c r="J55" s="125">
        <v>16172</v>
      </c>
      <c r="K55" s="125">
        <v>0</v>
      </c>
      <c r="L55" s="125">
        <v>0</v>
      </c>
      <c r="M55" s="125">
        <v>309</v>
      </c>
      <c r="N55" s="126">
        <v>0.98089290131090778</v>
      </c>
      <c r="O55" s="126">
        <v>17702.174189957954</v>
      </c>
      <c r="P55" s="126">
        <v>14448.787850605986</v>
      </c>
      <c r="Q55" s="126">
        <v>14308.634608455108</v>
      </c>
      <c r="R55" s="126">
        <v>13593.202878032353</v>
      </c>
      <c r="S55" s="126">
        <v>12641.678676570087</v>
      </c>
    </row>
    <row r="56" spans="1:19" x14ac:dyDescent="0.2">
      <c r="A56" s="124">
        <v>2018</v>
      </c>
      <c r="B56" s="124">
        <v>2018</v>
      </c>
      <c r="C56" s="124" t="s">
        <v>517</v>
      </c>
      <c r="D56" s="124" t="s">
        <v>187</v>
      </c>
      <c r="E56" s="124" t="s">
        <v>188</v>
      </c>
      <c r="F56" s="125">
        <v>13569</v>
      </c>
      <c r="G56" s="125">
        <v>107</v>
      </c>
      <c r="H56" s="125">
        <v>29</v>
      </c>
      <c r="I56" s="125">
        <v>240</v>
      </c>
      <c r="J56" s="125">
        <v>13407</v>
      </c>
      <c r="K56" s="125">
        <v>0</v>
      </c>
      <c r="L56" s="125">
        <v>1228</v>
      </c>
      <c r="M56" s="125">
        <v>0</v>
      </c>
      <c r="N56" s="126">
        <v>0.90840605653762962</v>
      </c>
      <c r="O56" s="126">
        <v>12326.161781159097</v>
      </c>
      <c r="P56" s="126">
        <v>11192.907057507275</v>
      </c>
      <c r="Q56" s="126">
        <v>10383.659877249498</v>
      </c>
      <c r="R56" s="126">
        <v>10373.276217372249</v>
      </c>
      <c r="S56" s="126">
        <v>10062.077930851083</v>
      </c>
    </row>
    <row r="57" spans="1:19" x14ac:dyDescent="0.2">
      <c r="A57" s="124">
        <v>2018</v>
      </c>
      <c r="B57" s="124">
        <v>2018</v>
      </c>
      <c r="C57" s="124" t="s">
        <v>517</v>
      </c>
      <c r="D57" s="124" t="s">
        <v>187</v>
      </c>
      <c r="E57" s="124" t="s">
        <v>189</v>
      </c>
      <c r="F57" s="125">
        <v>256030</v>
      </c>
      <c r="G57" s="125">
        <v>810</v>
      </c>
      <c r="H57" s="125">
        <v>152</v>
      </c>
      <c r="I57" s="125">
        <v>835</v>
      </c>
      <c r="J57" s="125">
        <v>255853</v>
      </c>
      <c r="K57" s="125">
        <v>42386</v>
      </c>
      <c r="L57" s="125">
        <v>0</v>
      </c>
      <c r="M57" s="125">
        <v>245</v>
      </c>
      <c r="N57" s="126">
        <v>0.8333769781866931</v>
      </c>
      <c r="O57" s="126">
        <v>213369.50772513903</v>
      </c>
      <c r="P57" s="126">
        <v>205754.06722962009</v>
      </c>
      <c r="Q57" s="126">
        <v>196124.77688327388</v>
      </c>
      <c r="R57" s="126">
        <v>192202.28134560841</v>
      </c>
      <c r="S57" s="126">
        <v>172982.05321104758</v>
      </c>
    </row>
    <row r="58" spans="1:19" x14ac:dyDescent="0.2">
      <c r="A58" s="124">
        <v>2018</v>
      </c>
      <c r="B58" s="124">
        <v>2018</v>
      </c>
      <c r="C58" s="124" t="s">
        <v>517</v>
      </c>
      <c r="D58" s="124" t="s">
        <v>190</v>
      </c>
      <c r="E58" s="124" t="s">
        <v>191</v>
      </c>
      <c r="F58" s="125">
        <v>409416</v>
      </c>
      <c r="G58" s="125">
        <v>18570</v>
      </c>
      <c r="H58" s="125">
        <v>10388</v>
      </c>
      <c r="I58" s="125">
        <v>4908</v>
      </c>
      <c r="J58" s="125">
        <v>412689</v>
      </c>
      <c r="K58" s="125">
        <v>5932</v>
      </c>
      <c r="L58" s="125">
        <v>1935</v>
      </c>
      <c r="M58" s="125">
        <v>10059</v>
      </c>
      <c r="N58" s="126">
        <v>0.95656293237765</v>
      </c>
      <c r="O58" s="126">
        <v>391632.16952232795</v>
      </c>
      <c r="P58" s="126">
        <v>367349.70469636947</v>
      </c>
      <c r="Q58" s="126">
        <v>354859.81473669293</v>
      </c>
      <c r="R58" s="126">
        <v>326471.02955775749</v>
      </c>
      <c r="S58" s="126">
        <v>319941.60896660236</v>
      </c>
    </row>
    <row r="59" spans="1:19" x14ac:dyDescent="0.2">
      <c r="A59" s="124">
        <v>2018</v>
      </c>
      <c r="B59" s="124">
        <v>2018</v>
      </c>
      <c r="C59" s="124" t="s">
        <v>517</v>
      </c>
      <c r="D59" s="124" t="s">
        <v>190</v>
      </c>
      <c r="E59" s="124" t="s">
        <v>192</v>
      </c>
      <c r="F59" s="125">
        <v>34070</v>
      </c>
      <c r="G59" s="125">
        <v>5812</v>
      </c>
      <c r="H59" s="125">
        <v>2584</v>
      </c>
      <c r="I59" s="125">
        <v>1948</v>
      </c>
      <c r="J59" s="125">
        <v>35351</v>
      </c>
      <c r="K59" s="125">
        <v>6175</v>
      </c>
      <c r="L59" s="125">
        <v>1490</v>
      </c>
      <c r="M59" s="125">
        <v>85</v>
      </c>
      <c r="N59" s="126">
        <v>0.78076999236230937</v>
      </c>
      <c r="O59" s="126">
        <v>26600.833639783879</v>
      </c>
      <c r="P59" s="126">
        <v>25738.160875222762</v>
      </c>
      <c r="Q59" s="126">
        <v>24863.063405465189</v>
      </c>
      <c r="R59" s="126">
        <v>22874.018333027972</v>
      </c>
      <c r="S59" s="126">
        <v>22416.537966367414</v>
      </c>
    </row>
    <row r="60" spans="1:19" x14ac:dyDescent="0.2">
      <c r="A60" s="124">
        <v>2018</v>
      </c>
      <c r="B60" s="124">
        <v>2018</v>
      </c>
      <c r="C60" s="124" t="s">
        <v>517</v>
      </c>
      <c r="D60" s="124" t="s">
        <v>193</v>
      </c>
      <c r="E60" s="124" t="s">
        <v>194</v>
      </c>
      <c r="F60" s="127">
        <v>155597</v>
      </c>
      <c r="G60" s="127">
        <v>11290</v>
      </c>
      <c r="H60" s="127">
        <v>-1345</v>
      </c>
      <c r="I60" s="127">
        <v>29755</v>
      </c>
      <c r="J60" s="127">
        <v>138475</v>
      </c>
      <c r="K60" s="127">
        <v>20118</v>
      </c>
      <c r="L60" s="127">
        <v>4601</v>
      </c>
      <c r="M60" s="127">
        <v>12349</v>
      </c>
      <c r="N60" s="126">
        <v>0.7323126918216285</v>
      </c>
      <c r="O60" s="126">
        <v>113945.65790936993</v>
      </c>
      <c r="P60" s="126">
        <v>92121.893505769985</v>
      </c>
      <c r="Q60" s="126">
        <v>80965.932202221244</v>
      </c>
      <c r="R60" s="126">
        <v>72869.338981999113</v>
      </c>
      <c r="S60" s="126">
        <v>65014.024239739607</v>
      </c>
    </row>
    <row r="64" spans="1:19" x14ac:dyDescent="0.2">
      <c r="A64" s="120" t="s">
        <v>65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  <row r="65" spans="1:17" x14ac:dyDescent="0.2">
      <c r="A65" s="128" t="s">
        <v>231</v>
      </c>
      <c r="B65" s="128" t="s">
        <v>2</v>
      </c>
      <c r="C65" s="128" t="s">
        <v>516</v>
      </c>
      <c r="D65" s="128" t="s">
        <v>217</v>
      </c>
      <c r="E65" s="128" t="s">
        <v>218</v>
      </c>
      <c r="F65" s="129" t="s">
        <v>540</v>
      </c>
      <c r="G65" s="129" t="s">
        <v>541</v>
      </c>
      <c r="H65" s="129" t="s">
        <v>542</v>
      </c>
      <c r="I65" s="129" t="s">
        <v>543</v>
      </c>
      <c r="J65" s="129" t="s">
        <v>544</v>
      </c>
      <c r="K65" s="130" t="s">
        <v>545</v>
      </c>
      <c r="L65" s="129" t="s">
        <v>546</v>
      </c>
      <c r="M65" s="129" t="s">
        <v>547</v>
      </c>
      <c r="N65" s="129" t="s">
        <v>548</v>
      </c>
      <c r="O65" s="129" t="s">
        <v>549</v>
      </c>
      <c r="P65" s="129" t="s">
        <v>550</v>
      </c>
      <c r="Q65" s="130" t="s">
        <v>551</v>
      </c>
    </row>
    <row r="66" spans="1:17" x14ac:dyDescent="0.2">
      <c r="A66" s="124" t="s">
        <v>552</v>
      </c>
      <c r="B66" s="124">
        <v>2050</v>
      </c>
      <c r="C66" s="124" t="s">
        <v>517</v>
      </c>
      <c r="D66" s="124" t="s">
        <v>195</v>
      </c>
      <c r="E66" s="124" t="s">
        <v>196</v>
      </c>
      <c r="F66" s="126">
        <v>159.02142410559222</v>
      </c>
      <c r="G66" s="126">
        <v>300.40043645781054</v>
      </c>
      <c r="H66" s="126">
        <v>298.06196265048345</v>
      </c>
      <c r="I66" s="126">
        <v>118.00698904136425</v>
      </c>
      <c r="J66" s="126">
        <v>115.25877258516603</v>
      </c>
      <c r="K66" s="127">
        <v>990.74958484041656</v>
      </c>
      <c r="L66" s="127">
        <v>0.15902142410559222</v>
      </c>
      <c r="M66" s="127">
        <v>0.30040043645781056</v>
      </c>
      <c r="N66" s="127">
        <v>0.29806196265048346</v>
      </c>
      <c r="O66" s="127">
        <v>0.11800698904136425</v>
      </c>
      <c r="P66" s="127">
        <v>0.11525877258516602</v>
      </c>
      <c r="Q66" s="127">
        <v>0.99074958484041653</v>
      </c>
    </row>
    <row r="67" spans="1:17" x14ac:dyDescent="0.2">
      <c r="A67" s="124" t="s">
        <v>552</v>
      </c>
      <c r="B67" s="124">
        <v>2050</v>
      </c>
      <c r="C67" s="124" t="s">
        <v>517</v>
      </c>
      <c r="D67" s="124" t="s">
        <v>195</v>
      </c>
      <c r="E67" s="124" t="s">
        <v>197</v>
      </c>
      <c r="F67" s="126">
        <v>2379.8749419497303</v>
      </c>
      <c r="G67" s="126">
        <v>3091.8455124106558</v>
      </c>
      <c r="H67" s="126">
        <v>3067.7769729893107</v>
      </c>
      <c r="I67" s="126">
        <v>1214.5767289917965</v>
      </c>
      <c r="J67" s="126">
        <v>1186.2909487931283</v>
      </c>
      <c r="K67" s="127">
        <v>10940.365105134621</v>
      </c>
      <c r="L67" s="127">
        <v>2.3798749419497303</v>
      </c>
      <c r="M67" s="127">
        <v>3.0918455124106559</v>
      </c>
      <c r="N67" s="127">
        <v>3.0677769729893107</v>
      </c>
      <c r="O67" s="127">
        <v>1.2145767289917964</v>
      </c>
      <c r="P67" s="127">
        <v>1.1862909487931284</v>
      </c>
      <c r="Q67" s="127">
        <v>10.940365105134623</v>
      </c>
    </row>
    <row r="68" spans="1:17" x14ac:dyDescent="0.2">
      <c r="A68" s="124" t="s">
        <v>552</v>
      </c>
      <c r="B68" s="124">
        <v>2050</v>
      </c>
      <c r="C68" s="124" t="s">
        <v>517</v>
      </c>
      <c r="D68" s="124" t="s">
        <v>195</v>
      </c>
      <c r="E68" s="124" t="s">
        <v>198</v>
      </c>
      <c r="F68" s="126">
        <v>1027.0072318166722</v>
      </c>
      <c r="G68" s="126">
        <v>1016.9978403095089</v>
      </c>
      <c r="H68" s="126">
        <v>1009.0809982445807</v>
      </c>
      <c r="I68" s="126">
        <v>399.50958264786152</v>
      </c>
      <c r="J68" s="126">
        <v>390.20556753518986</v>
      </c>
      <c r="K68" s="127">
        <v>3842.801220553813</v>
      </c>
      <c r="L68" s="127">
        <v>1.0270072318166721</v>
      </c>
      <c r="M68" s="127">
        <v>1.0169978403095088</v>
      </c>
      <c r="N68" s="127">
        <v>1.0090809982445808</v>
      </c>
      <c r="O68" s="127">
        <v>0.39950958264786152</v>
      </c>
      <c r="P68" s="127">
        <v>0.39020556753518987</v>
      </c>
      <c r="Q68" s="127">
        <v>3.8428012205538131</v>
      </c>
    </row>
    <row r="69" spans="1:17" x14ac:dyDescent="0.2">
      <c r="A69" s="124" t="s">
        <v>552</v>
      </c>
      <c r="B69" s="124">
        <v>2050</v>
      </c>
      <c r="C69" s="124" t="s">
        <v>517</v>
      </c>
      <c r="D69" s="124" t="s">
        <v>195</v>
      </c>
      <c r="E69" s="124" t="s">
        <v>199</v>
      </c>
      <c r="F69" s="126">
        <v>0</v>
      </c>
      <c r="G69" s="126">
        <v>0</v>
      </c>
      <c r="H69" s="126">
        <v>0</v>
      </c>
      <c r="I69" s="126">
        <v>0</v>
      </c>
      <c r="J69" s="126">
        <v>0</v>
      </c>
      <c r="K69" s="127">
        <v>0</v>
      </c>
      <c r="L69" s="127">
        <v>0</v>
      </c>
      <c r="M69" s="127">
        <v>0</v>
      </c>
      <c r="N69" s="127">
        <v>0</v>
      </c>
      <c r="O69" s="127">
        <v>0</v>
      </c>
      <c r="P69" s="127">
        <v>0</v>
      </c>
      <c r="Q69" s="127">
        <v>0</v>
      </c>
    </row>
    <row r="70" spans="1:17" x14ac:dyDescent="0.2">
      <c r="A70" s="124" t="s">
        <v>552</v>
      </c>
      <c r="B70" s="124">
        <v>2050</v>
      </c>
      <c r="C70" s="124" t="s">
        <v>517</v>
      </c>
      <c r="D70" s="124" t="s">
        <v>195</v>
      </c>
      <c r="E70" s="124" t="s">
        <v>212</v>
      </c>
      <c r="F70" s="126">
        <v>15.371527093596059</v>
      </c>
      <c r="G70" s="126">
        <v>5.7736724041359819</v>
      </c>
      <c r="H70" s="126">
        <v>5.7287271242676701</v>
      </c>
      <c r="I70" s="126">
        <v>2.2680849074564886</v>
      </c>
      <c r="J70" s="126">
        <v>2.2152644065915625</v>
      </c>
      <c r="K70" s="127">
        <v>31.35727593604776</v>
      </c>
      <c r="L70" s="127">
        <v>1.5371527093596059E-2</v>
      </c>
      <c r="M70" s="127">
        <v>5.7736724041359822E-3</v>
      </c>
      <c r="N70" s="127">
        <v>5.7287271242676702E-3</v>
      </c>
      <c r="O70" s="127">
        <v>2.2680849074564885E-3</v>
      </c>
      <c r="P70" s="127">
        <v>2.2152644065915627E-3</v>
      </c>
      <c r="Q70" s="127">
        <v>3.1357275936047757E-2</v>
      </c>
    </row>
    <row r="71" spans="1:17" x14ac:dyDescent="0.2">
      <c r="A71" s="124" t="s">
        <v>552</v>
      </c>
      <c r="B71" s="124">
        <v>2050</v>
      </c>
      <c r="C71" s="124" t="s">
        <v>517</v>
      </c>
      <c r="D71" s="124" t="s">
        <v>195</v>
      </c>
      <c r="E71" s="124" t="s">
        <v>200</v>
      </c>
      <c r="F71" s="126">
        <v>31200.078777468567</v>
      </c>
      <c r="G71" s="126">
        <v>27242.669424884483</v>
      </c>
      <c r="H71" s="126">
        <v>27030.598265325065</v>
      </c>
      <c r="I71" s="126">
        <v>10701.800004645982</v>
      </c>
      <c r="J71" s="126">
        <v>10452.570165611609</v>
      </c>
      <c r="K71" s="127">
        <v>106627.71663793571</v>
      </c>
      <c r="L71" s="127">
        <v>31.200078777468566</v>
      </c>
      <c r="M71" s="127">
        <v>27.242669424884483</v>
      </c>
      <c r="N71" s="127">
        <v>27.030598265325064</v>
      </c>
      <c r="O71" s="127">
        <v>10.701800004645982</v>
      </c>
      <c r="P71" s="127">
        <v>10.452570165611609</v>
      </c>
      <c r="Q71" s="127">
        <v>106.62771663793569</v>
      </c>
    </row>
    <row r="72" spans="1:17" x14ac:dyDescent="0.2">
      <c r="A72" s="124" t="s">
        <v>552</v>
      </c>
      <c r="B72" s="124">
        <v>2050</v>
      </c>
      <c r="C72" s="124" t="s">
        <v>517</v>
      </c>
      <c r="D72" s="124" t="s">
        <v>195</v>
      </c>
      <c r="E72" s="124" t="s">
        <v>201</v>
      </c>
      <c r="F72" s="126">
        <v>0</v>
      </c>
      <c r="G72" s="126">
        <v>0</v>
      </c>
      <c r="H72" s="126">
        <v>0</v>
      </c>
      <c r="I72" s="126">
        <v>0</v>
      </c>
      <c r="J72" s="126">
        <v>0</v>
      </c>
      <c r="K72" s="127">
        <v>0</v>
      </c>
      <c r="L72" s="127">
        <v>0</v>
      </c>
      <c r="M72" s="127">
        <v>0</v>
      </c>
      <c r="N72" s="127">
        <v>0</v>
      </c>
      <c r="O72" s="127">
        <v>0</v>
      </c>
      <c r="P72" s="127">
        <v>0</v>
      </c>
      <c r="Q72" s="127">
        <v>0</v>
      </c>
    </row>
    <row r="73" spans="1:17" x14ac:dyDescent="0.2">
      <c r="A73" s="124" t="s">
        <v>552</v>
      </c>
      <c r="B73" s="124">
        <v>2050</v>
      </c>
      <c r="C73" s="124" t="s">
        <v>517</v>
      </c>
      <c r="D73" s="124" t="s">
        <v>195</v>
      </c>
      <c r="E73" s="124" t="s">
        <v>202</v>
      </c>
      <c r="F73" s="126">
        <v>464.94848240046161</v>
      </c>
      <c r="G73" s="126">
        <v>479.43964475044362</v>
      </c>
      <c r="H73" s="126">
        <v>475.7074362867566</v>
      </c>
      <c r="I73" s="126">
        <v>188.33936984644529</v>
      </c>
      <c r="J73" s="126">
        <v>183.95321136747103</v>
      </c>
      <c r="K73" s="127">
        <v>1792.3881446515784</v>
      </c>
      <c r="L73" s="127">
        <v>0.4649484824004616</v>
      </c>
      <c r="M73" s="127">
        <v>0.47943964475044359</v>
      </c>
      <c r="N73" s="127">
        <v>0.4757074362867566</v>
      </c>
      <c r="O73" s="127">
        <v>0.18833936984644528</v>
      </c>
      <c r="P73" s="127">
        <v>0.18395321136747103</v>
      </c>
      <c r="Q73" s="127">
        <v>1.7923881446515781</v>
      </c>
    </row>
    <row r="74" spans="1:17" x14ac:dyDescent="0.2">
      <c r="A74" s="124" t="s">
        <v>552</v>
      </c>
      <c r="B74" s="124">
        <v>2050</v>
      </c>
      <c r="C74" s="124" t="s">
        <v>517</v>
      </c>
      <c r="D74" s="124" t="s">
        <v>195</v>
      </c>
      <c r="E74" s="124" t="s">
        <v>203</v>
      </c>
      <c r="F74" s="126">
        <v>10925.365255110708</v>
      </c>
      <c r="G74" s="126">
        <v>13782.090444519788</v>
      </c>
      <c r="H74" s="126">
        <v>13674.803458206608</v>
      </c>
      <c r="I74" s="126">
        <v>5414.0500434391124</v>
      </c>
      <c r="J74" s="126">
        <v>5287.9644484677447</v>
      </c>
      <c r="K74" s="127">
        <v>49084.273649743962</v>
      </c>
      <c r="L74" s="127">
        <v>10.925365255110709</v>
      </c>
      <c r="M74" s="127">
        <v>13.782090444519788</v>
      </c>
      <c r="N74" s="127">
        <v>13.674803458206608</v>
      </c>
      <c r="O74" s="127">
        <v>5.4140500434391123</v>
      </c>
      <c r="P74" s="127">
        <v>5.2879644484677444</v>
      </c>
      <c r="Q74" s="127">
        <v>49.084273649743963</v>
      </c>
    </row>
    <row r="75" spans="1:17" x14ac:dyDescent="0.2">
      <c r="A75" s="124" t="s">
        <v>552</v>
      </c>
      <c r="B75" s="124">
        <v>2050</v>
      </c>
      <c r="C75" s="124" t="s">
        <v>517</v>
      </c>
      <c r="D75" s="124" t="s">
        <v>213</v>
      </c>
      <c r="E75" s="124" t="s">
        <v>206</v>
      </c>
      <c r="F75" s="126">
        <v>0</v>
      </c>
      <c r="G75" s="126">
        <v>0</v>
      </c>
      <c r="H75" s="126">
        <v>0</v>
      </c>
      <c r="I75" s="126">
        <v>0</v>
      </c>
      <c r="J75" s="126">
        <v>0</v>
      </c>
      <c r="K75" s="127">
        <v>0</v>
      </c>
      <c r="L75" s="127">
        <v>0</v>
      </c>
      <c r="M75" s="127">
        <v>0</v>
      </c>
      <c r="N75" s="127">
        <v>0</v>
      </c>
      <c r="O75" s="127">
        <v>0</v>
      </c>
      <c r="P75" s="127">
        <v>0</v>
      </c>
      <c r="Q75" s="127">
        <v>0</v>
      </c>
    </row>
    <row r="76" spans="1:17" x14ac:dyDescent="0.2">
      <c r="A76" s="124" t="s">
        <v>552</v>
      </c>
      <c r="B76" s="124">
        <v>2050</v>
      </c>
      <c r="C76" s="124" t="s">
        <v>517</v>
      </c>
      <c r="D76" s="124" t="s">
        <v>213</v>
      </c>
      <c r="E76" s="124" t="s">
        <v>207</v>
      </c>
      <c r="F76" s="126">
        <v>6494.1840938171072</v>
      </c>
      <c r="G76" s="126">
        <v>6191.4106461048432</v>
      </c>
      <c r="H76" s="126">
        <v>14134.545124960221</v>
      </c>
      <c r="I76" s="126">
        <v>5495.511144584535</v>
      </c>
      <c r="J76" s="126">
        <v>6702.5153602217779</v>
      </c>
      <c r="K76" s="127">
        <v>39018.166369688486</v>
      </c>
      <c r="L76" s="127">
        <v>6.4941840938171076</v>
      </c>
      <c r="M76" s="127">
        <v>6.1914106461048428</v>
      </c>
      <c r="N76" s="127">
        <v>14.134545124960221</v>
      </c>
      <c r="O76" s="127">
        <v>5.495511144584535</v>
      </c>
      <c r="P76" s="127">
        <v>6.7025153602217777</v>
      </c>
      <c r="Q76" s="127">
        <v>39.018166369688487</v>
      </c>
    </row>
    <row r="77" spans="1:17" x14ac:dyDescent="0.2">
      <c r="A77" s="124" t="s">
        <v>552</v>
      </c>
      <c r="B77" s="124">
        <v>2050</v>
      </c>
      <c r="C77" s="124" t="s">
        <v>517</v>
      </c>
      <c r="D77" s="124" t="s">
        <v>213</v>
      </c>
      <c r="E77" s="124" t="s">
        <v>208</v>
      </c>
      <c r="F77" s="126">
        <v>2702.4517000000005</v>
      </c>
      <c r="G77" s="126">
        <v>2870.4579115250044</v>
      </c>
      <c r="H77" s="126">
        <v>6553.0489251709387</v>
      </c>
      <c r="I77" s="126">
        <v>2547.8254221064617</v>
      </c>
      <c r="J77" s="126">
        <v>3107.415957778594</v>
      </c>
      <c r="K77" s="127">
        <v>17781.199916580998</v>
      </c>
      <c r="L77" s="127">
        <v>2.7024517000000006</v>
      </c>
      <c r="M77" s="127">
        <v>2.8704579115250044</v>
      </c>
      <c r="N77" s="127">
        <v>6.5530489251709385</v>
      </c>
      <c r="O77" s="127">
        <v>2.5478254221064618</v>
      </c>
      <c r="P77" s="127">
        <v>3.1074159577785938</v>
      </c>
      <c r="Q77" s="127">
        <v>17.781199916580999</v>
      </c>
    </row>
    <row r="78" spans="1:17" x14ac:dyDescent="0.2">
      <c r="A78" s="124" t="s">
        <v>552</v>
      </c>
      <c r="B78" s="124">
        <v>2050</v>
      </c>
      <c r="C78" s="124" t="s">
        <v>517</v>
      </c>
      <c r="D78" s="124" t="s">
        <v>213</v>
      </c>
      <c r="E78" s="124" t="s">
        <v>209</v>
      </c>
      <c r="F78" s="126">
        <v>0</v>
      </c>
      <c r="G78" s="126">
        <v>0</v>
      </c>
      <c r="H78" s="126">
        <v>0</v>
      </c>
      <c r="I78" s="126">
        <v>0</v>
      </c>
      <c r="J78" s="126">
        <v>0</v>
      </c>
      <c r="K78" s="127">
        <v>0</v>
      </c>
      <c r="L78" s="127">
        <v>0</v>
      </c>
      <c r="M78" s="127">
        <v>0</v>
      </c>
      <c r="N78" s="127">
        <v>0</v>
      </c>
      <c r="O78" s="127">
        <v>0</v>
      </c>
      <c r="P78" s="127">
        <v>0</v>
      </c>
      <c r="Q78" s="127">
        <v>0</v>
      </c>
    </row>
    <row r="79" spans="1:17" x14ac:dyDescent="0.2">
      <c r="A79" s="124" t="s">
        <v>552</v>
      </c>
      <c r="B79" s="124">
        <v>2050</v>
      </c>
      <c r="C79" s="124" t="s">
        <v>517</v>
      </c>
      <c r="D79" s="124" t="s">
        <v>213</v>
      </c>
      <c r="E79" s="124" t="s">
        <v>214</v>
      </c>
      <c r="F79" s="126">
        <v>14160.369600000002</v>
      </c>
      <c r="G79" s="126">
        <v>13955.384585305701</v>
      </c>
      <c r="H79" s="126">
        <v>31859.1391254712</v>
      </c>
      <c r="I79" s="126">
        <v>12386.833291983203</v>
      </c>
      <c r="J79" s="126">
        <v>15107.410069732559</v>
      </c>
      <c r="K79" s="127">
        <v>87469.136672492677</v>
      </c>
      <c r="L79" s="127">
        <v>14.160369600000001</v>
      </c>
      <c r="M79" s="127">
        <v>13.955384585305701</v>
      </c>
      <c r="N79" s="127">
        <v>31.859139125471199</v>
      </c>
      <c r="O79" s="127">
        <v>12.386833291983203</v>
      </c>
      <c r="P79" s="127">
        <v>15.107410069732559</v>
      </c>
      <c r="Q79" s="127">
        <v>87.469136672492681</v>
      </c>
    </row>
    <row r="80" spans="1:17" x14ac:dyDescent="0.2">
      <c r="A80" s="124" t="s">
        <v>552</v>
      </c>
      <c r="B80" s="124">
        <v>2050</v>
      </c>
      <c r="C80" s="124" t="s">
        <v>517</v>
      </c>
      <c r="D80" s="124" t="s">
        <v>213</v>
      </c>
      <c r="E80" s="124" t="s">
        <v>211</v>
      </c>
      <c r="F80" s="126">
        <v>27715.893087185432</v>
      </c>
      <c r="G80" s="126">
        <v>28604.390313749482</v>
      </c>
      <c r="H80" s="126">
        <v>65301.765424980767</v>
      </c>
      <c r="I80" s="126">
        <v>25389.326397232526</v>
      </c>
      <c r="J80" s="126">
        <v>30965.700129792094</v>
      </c>
      <c r="K80" s="127">
        <v>177977.0753529403</v>
      </c>
      <c r="L80" s="127">
        <v>27.715893087185432</v>
      </c>
      <c r="M80" s="127">
        <v>28.60439031374948</v>
      </c>
      <c r="N80" s="127">
        <v>65.301765424980772</v>
      </c>
      <c r="O80" s="127">
        <v>25.389326397232526</v>
      </c>
      <c r="P80" s="127">
        <v>30.965700129792094</v>
      </c>
      <c r="Q80" s="127">
        <v>177.97707535294029</v>
      </c>
    </row>
    <row r="81" spans="1:17" x14ac:dyDescent="0.2">
      <c r="A81" s="124" t="s">
        <v>552</v>
      </c>
      <c r="B81" s="124">
        <v>2050</v>
      </c>
      <c r="C81" s="124" t="s">
        <v>517</v>
      </c>
      <c r="D81" s="124" t="s">
        <v>180</v>
      </c>
      <c r="E81" s="124" t="s">
        <v>181</v>
      </c>
      <c r="F81" s="126">
        <v>4754.0998446574758</v>
      </c>
      <c r="G81" s="126">
        <v>12116.313705399483</v>
      </c>
      <c r="H81" s="126">
        <v>3190.9147012841827</v>
      </c>
      <c r="I81" s="126">
        <v>3978.1133580909909</v>
      </c>
      <c r="J81" s="126">
        <v>565.711594653426</v>
      </c>
      <c r="K81" s="127">
        <v>24605.15320408556</v>
      </c>
      <c r="L81" s="127">
        <v>4.7540998446574756</v>
      </c>
      <c r="M81" s="127">
        <v>12.116313705399483</v>
      </c>
      <c r="N81" s="127">
        <v>3.1909147012841825</v>
      </c>
      <c r="O81" s="127">
        <v>3.9781133580909911</v>
      </c>
      <c r="P81" s="127">
        <v>0.56571159465342602</v>
      </c>
      <c r="Q81" s="127">
        <v>24.605153204085557</v>
      </c>
    </row>
    <row r="82" spans="1:17" x14ac:dyDescent="0.2">
      <c r="A82" s="124" t="s">
        <v>552</v>
      </c>
      <c r="B82" s="124">
        <v>2050</v>
      </c>
      <c r="C82" s="124" t="s">
        <v>517</v>
      </c>
      <c r="D82" s="124" t="s">
        <v>182</v>
      </c>
      <c r="E82" s="124" t="s">
        <v>215</v>
      </c>
      <c r="F82" s="126">
        <v>1208.2</v>
      </c>
      <c r="G82" s="126">
        <v>21.522624827586203</v>
      </c>
      <c r="H82" s="126">
        <v>511.36731703448271</v>
      </c>
      <c r="I82" s="126">
        <v>680.11853165586206</v>
      </c>
      <c r="J82" s="126">
        <v>361.43441967997234</v>
      </c>
      <c r="K82" s="127">
        <v>2782.6428931979035</v>
      </c>
      <c r="L82" s="127">
        <v>1.2081999999999999</v>
      </c>
      <c r="M82" s="127">
        <v>2.1522624827586202E-2</v>
      </c>
      <c r="N82" s="127">
        <v>0.51136731703448268</v>
      </c>
      <c r="O82" s="127">
        <v>0.680118531655862</v>
      </c>
      <c r="P82" s="127">
        <v>0.36143441967997236</v>
      </c>
      <c r="Q82" s="127">
        <v>2.7826428931979033</v>
      </c>
    </row>
    <row r="83" spans="1:17" x14ac:dyDescent="0.2">
      <c r="A83" s="124" t="s">
        <v>552</v>
      </c>
      <c r="B83" s="124">
        <v>2050</v>
      </c>
      <c r="C83" s="124" t="s">
        <v>517</v>
      </c>
      <c r="D83" s="124" t="s">
        <v>182</v>
      </c>
      <c r="E83" s="124" t="s">
        <v>184</v>
      </c>
      <c r="F83" s="126">
        <v>389.1</v>
      </c>
      <c r="G83" s="126">
        <v>6.9014894001643388</v>
      </c>
      <c r="H83" s="126">
        <v>172.19216053410025</v>
      </c>
      <c r="I83" s="126">
        <v>229.01557351035336</v>
      </c>
      <c r="J83" s="126">
        <v>121.70541906550204</v>
      </c>
      <c r="K83" s="127">
        <v>918.91464251011996</v>
      </c>
      <c r="L83" s="127">
        <v>0.3891</v>
      </c>
      <c r="M83" s="127">
        <v>6.9014894001643385E-3</v>
      </c>
      <c r="N83" s="127">
        <v>0.17219216053410025</v>
      </c>
      <c r="O83" s="127">
        <v>0.22901557351035337</v>
      </c>
      <c r="P83" s="127">
        <v>0.12170541906550204</v>
      </c>
      <c r="Q83" s="127">
        <v>0.91891464251012001</v>
      </c>
    </row>
    <row r="84" spans="1:17" x14ac:dyDescent="0.2">
      <c r="A84" s="124" t="s">
        <v>552</v>
      </c>
      <c r="B84" s="124">
        <v>2050</v>
      </c>
      <c r="C84" s="124" t="s">
        <v>517</v>
      </c>
      <c r="D84" s="124" t="s">
        <v>182</v>
      </c>
      <c r="E84" s="124" t="s">
        <v>216</v>
      </c>
      <c r="F84" s="126">
        <v>775.86</v>
      </c>
      <c r="G84" s="126">
        <v>54.137697490735469</v>
      </c>
      <c r="H84" s="126">
        <v>573.22606715456402</v>
      </c>
      <c r="I84" s="126">
        <v>762.39066931557022</v>
      </c>
      <c r="J84" s="126">
        <v>405.15618426484588</v>
      </c>
      <c r="K84" s="127">
        <v>2570.7706182257157</v>
      </c>
      <c r="L84" s="127">
        <v>0.77585999999999999</v>
      </c>
      <c r="M84" s="127">
        <v>5.4137697490735472E-2</v>
      </c>
      <c r="N84" s="127">
        <v>0.57322606715456403</v>
      </c>
      <c r="O84" s="127">
        <v>0.7623906693155702</v>
      </c>
      <c r="P84" s="127">
        <v>0.4051561842648459</v>
      </c>
      <c r="Q84" s="127">
        <v>2.5707706182257155</v>
      </c>
    </row>
    <row r="85" spans="1:17" x14ac:dyDescent="0.2">
      <c r="A85" s="124" t="s">
        <v>552</v>
      </c>
      <c r="B85" s="124">
        <v>2050</v>
      </c>
      <c r="C85" s="124" t="s">
        <v>517</v>
      </c>
      <c r="D85" s="124" t="s">
        <v>182</v>
      </c>
      <c r="E85" s="124" t="s">
        <v>186</v>
      </c>
      <c r="F85" s="126">
        <v>1670.7352609448428</v>
      </c>
      <c r="G85" s="126">
        <v>165.34618931868704</v>
      </c>
      <c r="H85" s="126">
        <v>844.03263547575136</v>
      </c>
      <c r="I85" s="126">
        <v>1122.5634051827494</v>
      </c>
      <c r="J85" s="126">
        <v>596.56226675426103</v>
      </c>
      <c r="K85" s="127">
        <v>4399.2397576762914</v>
      </c>
      <c r="L85" s="127">
        <v>1.6707352609448429</v>
      </c>
      <c r="M85" s="127">
        <v>0.16534618931868703</v>
      </c>
      <c r="N85" s="127">
        <v>0.84403263547575136</v>
      </c>
      <c r="O85" s="127">
        <v>1.1225634051827493</v>
      </c>
      <c r="P85" s="127">
        <v>0.59656226675426105</v>
      </c>
      <c r="Q85" s="127">
        <v>4.3992397576762912</v>
      </c>
    </row>
    <row r="86" spans="1:17" x14ac:dyDescent="0.2">
      <c r="A86" s="124" t="s">
        <v>552</v>
      </c>
      <c r="B86" s="124">
        <v>2050</v>
      </c>
      <c r="C86" s="124" t="s">
        <v>517</v>
      </c>
      <c r="D86" s="124" t="s">
        <v>187</v>
      </c>
      <c r="E86" s="124" t="s">
        <v>188</v>
      </c>
      <c r="F86" s="126">
        <v>1054.9864578205415</v>
      </c>
      <c r="G86" s="126">
        <v>865.78534275201787</v>
      </c>
      <c r="H86" s="126">
        <v>11.109115663499956</v>
      </c>
      <c r="I86" s="126">
        <v>332.9401964350937</v>
      </c>
      <c r="J86" s="126">
        <v>215.30132702802726</v>
      </c>
      <c r="K86" s="127">
        <v>2480.1224396991802</v>
      </c>
      <c r="L86" s="127">
        <v>1.0549864578205415</v>
      </c>
      <c r="M86" s="127">
        <v>0.86578534275201791</v>
      </c>
      <c r="N86" s="127">
        <v>1.1109115663499956E-2</v>
      </c>
      <c r="O86" s="127">
        <v>0.3329401964350937</v>
      </c>
      <c r="P86" s="127">
        <v>0.21530132702802726</v>
      </c>
      <c r="Q86" s="127">
        <v>2.4801224396991799</v>
      </c>
    </row>
    <row r="87" spans="1:17" x14ac:dyDescent="0.2">
      <c r="A87" s="124" t="s">
        <v>552</v>
      </c>
      <c r="B87" s="124">
        <v>2050</v>
      </c>
      <c r="C87" s="124" t="s">
        <v>517</v>
      </c>
      <c r="D87" s="124" t="s">
        <v>187</v>
      </c>
      <c r="E87" s="124" t="s">
        <v>189</v>
      </c>
      <c r="F87" s="126">
        <v>7711.4871922549282</v>
      </c>
      <c r="G87" s="126">
        <v>9943.3339130844579</v>
      </c>
      <c r="H87" s="126">
        <v>4050.4213187829509</v>
      </c>
      <c r="I87" s="126">
        <v>19847.064462036462</v>
      </c>
      <c r="J87" s="126">
        <v>1786.2358015832813</v>
      </c>
      <c r="K87" s="127">
        <v>43338.542687742076</v>
      </c>
      <c r="L87" s="127">
        <v>7.7114871922549284</v>
      </c>
      <c r="M87" s="127">
        <v>9.9433339130844587</v>
      </c>
      <c r="N87" s="127">
        <v>4.0504213187829512</v>
      </c>
      <c r="O87" s="127">
        <v>19.84706446203646</v>
      </c>
      <c r="P87" s="127">
        <v>1.7862358015832813</v>
      </c>
      <c r="Q87" s="127">
        <v>43.338542687742084</v>
      </c>
    </row>
    <row r="88" spans="1:17" x14ac:dyDescent="0.2">
      <c r="A88" s="124" t="s">
        <v>552</v>
      </c>
      <c r="B88" s="124">
        <v>2050</v>
      </c>
      <c r="C88" s="124" t="s">
        <v>517</v>
      </c>
      <c r="D88" s="124" t="s">
        <v>190</v>
      </c>
      <c r="E88" s="124" t="s">
        <v>191</v>
      </c>
      <c r="F88" s="126">
        <v>15661.87185122453</v>
      </c>
      <c r="G88" s="126">
        <v>7135.5241403811951</v>
      </c>
      <c r="H88" s="126">
        <v>16218.626634372315</v>
      </c>
      <c r="I88" s="126">
        <v>3730.2841259056327</v>
      </c>
      <c r="J88" s="126">
        <v>1827.83922169376</v>
      </c>
      <c r="K88" s="127">
        <v>44574.145973577426</v>
      </c>
      <c r="L88" s="127">
        <v>15.661871851224531</v>
      </c>
      <c r="M88" s="127">
        <v>7.1355241403811949</v>
      </c>
      <c r="N88" s="127">
        <v>16.218626634372313</v>
      </c>
      <c r="O88" s="127">
        <v>3.7302841259056327</v>
      </c>
      <c r="P88" s="127">
        <v>1.82783922169376</v>
      </c>
      <c r="Q88" s="127">
        <v>44.57414597357743</v>
      </c>
    </row>
    <row r="89" spans="1:17" x14ac:dyDescent="0.2">
      <c r="A89" s="124" t="s">
        <v>552</v>
      </c>
      <c r="B89" s="124">
        <v>2050</v>
      </c>
      <c r="C89" s="124" t="s">
        <v>517</v>
      </c>
      <c r="D89" s="124" t="s">
        <v>190</v>
      </c>
      <c r="E89" s="124" t="s">
        <v>192</v>
      </c>
      <c r="F89" s="126">
        <v>2560.0433048570058</v>
      </c>
      <c r="G89" s="126">
        <v>1203.124173199722</v>
      </c>
      <c r="H89" s="126">
        <v>2734.6304736727798</v>
      </c>
      <c r="I89" s="126">
        <v>628.96500894473934</v>
      </c>
      <c r="J89" s="126">
        <v>308.19285438292229</v>
      </c>
      <c r="K89" s="127">
        <v>7434.9558150571702</v>
      </c>
      <c r="L89" s="127">
        <v>2.5600433048570057</v>
      </c>
      <c r="M89" s="127">
        <v>1.203124173199722</v>
      </c>
      <c r="N89" s="127">
        <v>2.7346304736727798</v>
      </c>
      <c r="O89" s="127">
        <v>0.62896500894473939</v>
      </c>
      <c r="P89" s="127">
        <v>0.30819285438292227</v>
      </c>
      <c r="Q89" s="127">
        <v>7.4349558150571697</v>
      </c>
    </row>
    <row r="90" spans="1:17" x14ac:dyDescent="0.2">
      <c r="A90" s="124" t="s">
        <v>552</v>
      </c>
      <c r="B90" s="124">
        <v>2050</v>
      </c>
      <c r="C90" s="124" t="s">
        <v>517</v>
      </c>
      <c r="D90" s="124" t="s">
        <v>193</v>
      </c>
      <c r="E90" s="124" t="s">
        <v>194</v>
      </c>
      <c r="F90" s="126">
        <v>6140.9530751832463</v>
      </c>
      <c r="G90" s="126">
        <v>7377.1291891536312</v>
      </c>
      <c r="H90" s="126">
        <v>5354.0535461165382</v>
      </c>
      <c r="I90" s="126">
        <v>5194.5027504422642</v>
      </c>
      <c r="J90" s="126">
        <v>1668.0887915867349</v>
      </c>
      <c r="K90" s="127">
        <v>25734.727352482416</v>
      </c>
      <c r="L90" s="127">
        <v>6.140953075183246</v>
      </c>
      <c r="M90" s="127">
        <v>7.3771291891536315</v>
      </c>
      <c r="N90" s="127">
        <v>5.3540535461165382</v>
      </c>
      <c r="O90" s="127">
        <v>5.1945027504422638</v>
      </c>
      <c r="P90" s="127">
        <v>1.6680887915867348</v>
      </c>
      <c r="Q90" s="127">
        <v>25.734727352482416</v>
      </c>
    </row>
    <row r="93" spans="1:17" x14ac:dyDescent="0.2">
      <c r="A93" s="131" t="s">
        <v>234</v>
      </c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</row>
    <row r="94" spans="1:17" x14ac:dyDescent="0.2">
      <c r="A94" s="1" t="s">
        <v>236</v>
      </c>
      <c r="B94" s="30"/>
      <c r="C94" s="145">
        <v>2018</v>
      </c>
      <c r="D94" s="145"/>
      <c r="E94" s="145"/>
      <c r="F94" s="145"/>
      <c r="G94" s="145"/>
      <c r="H94" s="145"/>
      <c r="I94" s="145">
        <v>2050</v>
      </c>
      <c r="J94" s="145"/>
      <c r="K94" s="145"/>
      <c r="L94" s="145"/>
      <c r="M94" s="145"/>
      <c r="N94" s="145"/>
    </row>
    <row r="95" spans="1:17" x14ac:dyDescent="0.2">
      <c r="A95" s="68" t="s">
        <v>217</v>
      </c>
      <c r="B95" s="68" t="s">
        <v>218</v>
      </c>
      <c r="C95" s="69" t="s">
        <v>219</v>
      </c>
      <c r="D95" s="69" t="s">
        <v>220</v>
      </c>
      <c r="E95" s="69" t="s">
        <v>221</v>
      </c>
      <c r="F95" s="69" t="s">
        <v>222</v>
      </c>
      <c r="G95" s="69" t="s">
        <v>223</v>
      </c>
      <c r="H95" s="69" t="s">
        <v>224</v>
      </c>
      <c r="I95" s="69" t="s">
        <v>219</v>
      </c>
      <c r="J95" s="69" t="s">
        <v>220</v>
      </c>
      <c r="K95" s="69" t="s">
        <v>221</v>
      </c>
      <c r="L95" s="69" t="s">
        <v>222</v>
      </c>
      <c r="M95" s="69" t="s">
        <v>223</v>
      </c>
      <c r="N95" s="69" t="s">
        <v>224</v>
      </c>
    </row>
    <row r="96" spans="1:17" x14ac:dyDescent="0.2">
      <c r="A96" s="30" t="s">
        <v>195</v>
      </c>
      <c r="B96" s="30" t="s">
        <v>196</v>
      </c>
      <c r="C96" s="70">
        <v>8.0355161514414714E-2</v>
      </c>
      <c r="D96" s="70">
        <v>0.15179543087565128</v>
      </c>
      <c r="E96" s="70">
        <v>0.15061377600403961</v>
      </c>
      <c r="F96" s="70">
        <v>5.9630145545370758E-2</v>
      </c>
      <c r="G96" s="70">
        <v>5.8241443498106081E-2</v>
      </c>
      <c r="H96" s="70">
        <v>0.50063595743758249</v>
      </c>
      <c r="I96" s="74">
        <v>0.15902142410559222</v>
      </c>
      <c r="J96" s="74">
        <v>0.30040043645781056</v>
      </c>
      <c r="K96" s="74">
        <v>0.29806196265048346</v>
      </c>
      <c r="L96" s="74">
        <v>0.11800698904136425</v>
      </c>
      <c r="M96" s="74">
        <v>0.11525877258516602</v>
      </c>
      <c r="N96" s="74">
        <v>0.99074958484041653</v>
      </c>
    </row>
    <row r="97" spans="1:14" x14ac:dyDescent="0.2">
      <c r="A97" s="30" t="s">
        <v>195</v>
      </c>
      <c r="B97" s="30" t="s">
        <v>197</v>
      </c>
      <c r="C97" s="70">
        <v>3.0082001036451778</v>
      </c>
      <c r="D97" s="70">
        <v>3.9081423258605295</v>
      </c>
      <c r="E97" s="70">
        <v>3.8777193059338764</v>
      </c>
      <c r="F97" s="70">
        <v>1.5352444692093064</v>
      </c>
      <c r="G97" s="70">
        <v>1.4994907892887941</v>
      </c>
      <c r="H97" s="70">
        <v>13.828796993937701</v>
      </c>
      <c r="I97" s="74">
        <v>2.3798749419497303</v>
      </c>
      <c r="J97" s="74">
        <v>3.0918455124106559</v>
      </c>
      <c r="K97" s="74">
        <v>3.0677769729893107</v>
      </c>
      <c r="L97" s="74">
        <v>1.2145767289917964</v>
      </c>
      <c r="M97" s="74">
        <v>1.1862909487931284</v>
      </c>
      <c r="N97" s="74">
        <v>10.940365105134623</v>
      </c>
    </row>
    <row r="98" spans="1:14" x14ac:dyDescent="0.2">
      <c r="A98" s="30" t="s">
        <v>195</v>
      </c>
      <c r="B98" s="30" t="s">
        <v>198</v>
      </c>
      <c r="C98" s="70">
        <v>0.65253024535038195</v>
      </c>
      <c r="D98" s="70">
        <v>0.64617057183140991</v>
      </c>
      <c r="E98" s="70">
        <v>0.64114044279727467</v>
      </c>
      <c r="F98" s="70">
        <v>0.25383666045262382</v>
      </c>
      <c r="G98" s="70">
        <v>0.24792516238704931</v>
      </c>
      <c r="H98" s="70">
        <v>2.4416030828187392</v>
      </c>
      <c r="I98" s="74">
        <v>1.0270072318166721</v>
      </c>
      <c r="J98" s="74">
        <v>1.0169978403095088</v>
      </c>
      <c r="K98" s="74">
        <v>1.0090809982445808</v>
      </c>
      <c r="L98" s="74">
        <v>0.39950958264786152</v>
      </c>
      <c r="M98" s="74">
        <v>0.39020556753518987</v>
      </c>
      <c r="N98" s="74">
        <v>3.8428012205538131</v>
      </c>
    </row>
    <row r="99" spans="1:14" x14ac:dyDescent="0.2">
      <c r="A99" s="30" t="s">
        <v>195</v>
      </c>
      <c r="B99" s="30" t="s">
        <v>199</v>
      </c>
      <c r="C99" s="70">
        <v>0</v>
      </c>
      <c r="D99" s="70">
        <v>9.6220590000000005E-3</v>
      </c>
      <c r="E99" s="70">
        <v>9.5471558700000025E-3</v>
      </c>
      <c r="F99" s="70">
        <v>3.7798553968740006E-3</v>
      </c>
      <c r="G99" s="70">
        <v>3.6918278919937804E-3</v>
      </c>
      <c r="H99" s="70">
        <v>2.6640898158867783E-2</v>
      </c>
      <c r="I99" s="74">
        <v>0</v>
      </c>
      <c r="J99" s="74">
        <v>0</v>
      </c>
      <c r="K99" s="74">
        <v>0</v>
      </c>
      <c r="L99" s="74">
        <v>0</v>
      </c>
      <c r="M99" s="74">
        <v>0</v>
      </c>
      <c r="N99" s="74">
        <v>0</v>
      </c>
    </row>
    <row r="100" spans="1:14" x14ac:dyDescent="0.2">
      <c r="A100" s="30" t="s">
        <v>195</v>
      </c>
      <c r="B100" s="30" t="s">
        <v>212</v>
      </c>
      <c r="C100" s="70">
        <v>1.8184477832512317E-2</v>
      </c>
      <c r="D100" s="70">
        <v>6.8302399108374377E-3</v>
      </c>
      <c r="E100" s="70">
        <v>6.7770697579655178E-3</v>
      </c>
      <c r="F100" s="70">
        <v>2.6831387324608054E-3</v>
      </c>
      <c r="G100" s="70">
        <v>2.6206522129867183E-3</v>
      </c>
      <c r="H100" s="70">
        <v>3.7095578446762804E-2</v>
      </c>
      <c r="I100" s="74">
        <v>1.5371527093596059E-2</v>
      </c>
      <c r="J100" s="74">
        <v>5.7736724041359822E-3</v>
      </c>
      <c r="K100" s="74">
        <v>5.7287271242676702E-3</v>
      </c>
      <c r="L100" s="74">
        <v>2.2680849074564885E-3</v>
      </c>
      <c r="M100" s="74">
        <v>2.2152644065915627E-3</v>
      </c>
      <c r="N100" s="74">
        <v>3.1357275936047757E-2</v>
      </c>
    </row>
    <row r="101" spans="1:14" x14ac:dyDescent="0.2">
      <c r="A101" s="30" t="s">
        <v>195</v>
      </c>
      <c r="B101" s="30" t="s">
        <v>200</v>
      </c>
      <c r="C101" s="70">
        <v>45.225198265836106</v>
      </c>
      <c r="D101" s="70">
        <v>39.488846641014653</v>
      </c>
      <c r="E101" s="70">
        <v>39.181444845463197</v>
      </c>
      <c r="F101" s="70">
        <v>15.512493749245243</v>
      </c>
      <c r="G101" s="70">
        <v>15.151229633071541</v>
      </c>
      <c r="H101" s="70">
        <v>154.55921313463074</v>
      </c>
      <c r="I101" s="74">
        <v>31.200078777468566</v>
      </c>
      <c r="J101" s="74">
        <v>27.242669424884483</v>
      </c>
      <c r="K101" s="74">
        <v>27.030598265325064</v>
      </c>
      <c r="L101" s="74">
        <v>10.701800004645982</v>
      </c>
      <c r="M101" s="74">
        <v>10.452570165611609</v>
      </c>
      <c r="N101" s="74">
        <v>106.62771663793569</v>
      </c>
    </row>
    <row r="102" spans="1:14" x14ac:dyDescent="0.2">
      <c r="A102" s="30" t="s">
        <v>195</v>
      </c>
      <c r="B102" s="30" t="s">
        <v>201</v>
      </c>
      <c r="C102" s="70">
        <v>0</v>
      </c>
      <c r="D102" s="70">
        <v>4.0363749999999998E-5</v>
      </c>
      <c r="E102" s="70">
        <v>4.0049537500000003E-5</v>
      </c>
      <c r="F102" s="70">
        <v>1.5856184032499999E-5</v>
      </c>
      <c r="G102" s="70">
        <v>1.5486915854024998E-5</v>
      </c>
      <c r="H102" s="70">
        <v>1.11756387386525E-4</v>
      </c>
      <c r="I102" s="74">
        <v>0</v>
      </c>
      <c r="J102" s="74">
        <v>0</v>
      </c>
      <c r="K102" s="74">
        <v>0</v>
      </c>
      <c r="L102" s="74">
        <v>0</v>
      </c>
      <c r="M102" s="74">
        <v>0</v>
      </c>
      <c r="N102" s="74">
        <v>0</v>
      </c>
    </row>
    <row r="103" spans="1:14" x14ac:dyDescent="0.2">
      <c r="A103" s="30" t="s">
        <v>195</v>
      </c>
      <c r="B103" s="30" t="s">
        <v>202</v>
      </c>
      <c r="C103" s="70">
        <v>0.26669663127524523</v>
      </c>
      <c r="D103" s="70">
        <v>0.27500882999896137</v>
      </c>
      <c r="E103" s="70">
        <v>0.2728680177108056</v>
      </c>
      <c r="F103" s="70">
        <v>0.10803234632624664</v>
      </c>
      <c r="G103" s="70">
        <v>0.10551642524066222</v>
      </c>
      <c r="H103" s="70">
        <v>1.028122250551921</v>
      </c>
      <c r="I103" s="74">
        <v>0.4649484824004616</v>
      </c>
      <c r="J103" s="74">
        <v>0.47943964475044359</v>
      </c>
      <c r="K103" s="74">
        <v>0.4757074362867566</v>
      </c>
      <c r="L103" s="74">
        <v>0.18833936984644528</v>
      </c>
      <c r="M103" s="74">
        <v>0.18395321136747103</v>
      </c>
      <c r="N103" s="74">
        <v>1.7923881446515781</v>
      </c>
    </row>
    <row r="104" spans="1:14" x14ac:dyDescent="0.2">
      <c r="A104" s="30" t="s">
        <v>195</v>
      </c>
      <c r="B104" s="30" t="s">
        <v>203</v>
      </c>
      <c r="C104" s="70">
        <v>3.5967994482858598</v>
      </c>
      <c r="D104" s="70">
        <v>4.5372776240946164</v>
      </c>
      <c r="E104" s="70">
        <v>4.5019570865959739</v>
      </c>
      <c r="F104" s="70">
        <v>1.7823891242560117</v>
      </c>
      <c r="G104" s="70">
        <v>1.7408797936441434</v>
      </c>
      <c r="H104" s="70">
        <v>16.159303076876604</v>
      </c>
      <c r="I104" s="74">
        <v>10.925365255110709</v>
      </c>
      <c r="J104" s="74">
        <v>13.782090444519788</v>
      </c>
      <c r="K104" s="74">
        <v>13.674803458206608</v>
      </c>
      <c r="L104" s="74">
        <v>5.4140500434391123</v>
      </c>
      <c r="M104" s="74">
        <v>5.2879644484677444</v>
      </c>
      <c r="N104" s="74">
        <v>49.084273649743963</v>
      </c>
    </row>
    <row r="105" spans="1:14" x14ac:dyDescent="0.2">
      <c r="A105" s="30"/>
      <c r="B105" s="2" t="s">
        <v>225</v>
      </c>
      <c r="C105" s="82">
        <f t="shared" ref="C105:N105" si="0">AVERAGE(C96:C104)</f>
        <v>5.8719960370821882</v>
      </c>
      <c r="D105" s="82">
        <f t="shared" si="0"/>
        <v>5.447081565148518</v>
      </c>
      <c r="E105" s="82">
        <f t="shared" si="0"/>
        <v>5.4046786388522925</v>
      </c>
      <c r="F105" s="82">
        <f t="shared" si="0"/>
        <v>2.1397894828164628</v>
      </c>
      <c r="G105" s="82">
        <f t="shared" si="0"/>
        <v>2.0899568015723475</v>
      </c>
      <c r="H105" s="82">
        <f t="shared" si="0"/>
        <v>20.953502525471812</v>
      </c>
      <c r="I105" s="82">
        <f t="shared" si="0"/>
        <v>5.1301852933272585</v>
      </c>
      <c r="J105" s="82">
        <f t="shared" si="0"/>
        <v>5.1021352195263141</v>
      </c>
      <c r="K105" s="82">
        <f t="shared" si="0"/>
        <v>5.0624175356474517</v>
      </c>
      <c r="L105" s="82">
        <f t="shared" si="0"/>
        <v>2.0042834226133355</v>
      </c>
      <c r="M105" s="82">
        <f t="shared" si="0"/>
        <v>1.9576064865296559</v>
      </c>
      <c r="N105" s="82">
        <f t="shared" si="0"/>
        <v>19.256627957644014</v>
      </c>
    </row>
    <row r="106" spans="1:14" x14ac:dyDescent="0.2">
      <c r="A106" s="75" t="s">
        <v>213</v>
      </c>
      <c r="B106" s="75" t="s">
        <v>206</v>
      </c>
      <c r="C106" s="76">
        <v>0.16696373200000003</v>
      </c>
      <c r="D106" s="76">
        <v>0.18792245765159998</v>
      </c>
      <c r="E106" s="76">
        <v>0.4290134525871</v>
      </c>
      <c r="F106" s="76">
        <v>0.16680043036586448</v>
      </c>
      <c r="G106" s="76">
        <v>0.2034355708150111</v>
      </c>
      <c r="H106" s="76">
        <v>1.1541356434195755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</row>
    <row r="107" spans="1:14" x14ac:dyDescent="0.2">
      <c r="A107" s="75" t="s">
        <v>213</v>
      </c>
      <c r="B107" s="75" t="s">
        <v>207</v>
      </c>
      <c r="C107" s="76">
        <v>1.9623899963146958</v>
      </c>
      <c r="D107" s="76">
        <v>1.8708989673637397</v>
      </c>
      <c r="E107" s="76">
        <v>4.2711277590803922</v>
      </c>
      <c r="F107" s="76">
        <v>1.6606144727304566</v>
      </c>
      <c r="G107" s="76">
        <v>2.0253428148991461</v>
      </c>
      <c r="H107" s="76">
        <v>11.79037401038843</v>
      </c>
      <c r="I107" s="77">
        <v>6.4941840938171076</v>
      </c>
      <c r="J107" s="77">
        <v>6.1914106461048428</v>
      </c>
      <c r="K107" s="77">
        <v>14.134545124960221</v>
      </c>
      <c r="L107" s="77">
        <v>5.495511144584535</v>
      </c>
      <c r="M107" s="77">
        <v>6.7025153602217777</v>
      </c>
      <c r="N107" s="77">
        <v>39.018166369688487</v>
      </c>
    </row>
    <row r="108" spans="1:14" x14ac:dyDescent="0.2">
      <c r="A108" s="75" t="s">
        <v>213</v>
      </c>
      <c r="B108" s="75" t="s">
        <v>208</v>
      </c>
      <c r="C108" s="76">
        <v>0.49439440700000009</v>
      </c>
      <c r="D108" s="76">
        <v>0.52512995402910001</v>
      </c>
      <c r="E108" s="76">
        <v>1.1988339097427252</v>
      </c>
      <c r="F108" s="76">
        <v>0.4661066241079716</v>
      </c>
      <c r="G108" s="76">
        <v>0.56847975108982907</v>
      </c>
      <c r="H108" s="76">
        <v>3.2529446459696256</v>
      </c>
      <c r="I108" s="77">
        <v>2.7024517000000006</v>
      </c>
      <c r="J108" s="77">
        <v>2.8704579115250044</v>
      </c>
      <c r="K108" s="77">
        <v>6.5530489251709385</v>
      </c>
      <c r="L108" s="77">
        <v>2.5478254221064618</v>
      </c>
      <c r="M108" s="77">
        <v>3.1074159577785938</v>
      </c>
      <c r="N108" s="77">
        <v>17.781199916580999</v>
      </c>
    </row>
    <row r="109" spans="1:14" x14ac:dyDescent="0.2">
      <c r="A109" s="75" t="s">
        <v>213</v>
      </c>
      <c r="B109" s="75" t="s">
        <v>209</v>
      </c>
      <c r="C109" s="76">
        <v>0.33000622200000007</v>
      </c>
      <c r="D109" s="76">
        <v>0.32779985188859995</v>
      </c>
      <c r="E109" s="76">
        <v>0.74834348152785002</v>
      </c>
      <c r="F109" s="76">
        <v>0.29095594561802812</v>
      </c>
      <c r="G109" s="76">
        <v>0.35485992901213881</v>
      </c>
      <c r="H109" s="76">
        <v>2.051965430046617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</row>
    <row r="110" spans="1:14" x14ac:dyDescent="0.2">
      <c r="A110" s="75" t="s">
        <v>213</v>
      </c>
      <c r="B110" s="75" t="s">
        <v>214</v>
      </c>
      <c r="C110" s="76">
        <v>5.9984237040000004</v>
      </c>
      <c r="D110" s="76">
        <v>5.9115907324151999</v>
      </c>
      <c r="E110" s="76">
        <v>13.4957363908962</v>
      </c>
      <c r="F110" s="76">
        <v>5.2471423087804432</v>
      </c>
      <c r="G110" s="76">
        <v>6.3995961424857217</v>
      </c>
      <c r="H110" s="76">
        <v>37.052489278577568</v>
      </c>
      <c r="I110" s="77">
        <v>14.160369600000001</v>
      </c>
      <c r="J110" s="77">
        <v>13.955384585305701</v>
      </c>
      <c r="K110" s="77">
        <v>31.859139125471199</v>
      </c>
      <c r="L110" s="77">
        <v>12.386833291983203</v>
      </c>
      <c r="M110" s="77">
        <v>15.107410069732559</v>
      </c>
      <c r="N110" s="77">
        <v>87.469136672492681</v>
      </c>
    </row>
    <row r="111" spans="1:14" x14ac:dyDescent="0.2">
      <c r="A111" s="75" t="s">
        <v>213</v>
      </c>
      <c r="B111" s="75" t="s">
        <v>211</v>
      </c>
      <c r="C111" s="76">
        <v>15.506329959665944</v>
      </c>
      <c r="D111" s="76">
        <v>16.003421325980977</v>
      </c>
      <c r="E111" s="76">
        <v>36.534659678588277</v>
      </c>
      <c r="F111" s="76">
        <v>14.204675683035125</v>
      </c>
      <c r="G111" s="76">
        <v>17.324513488855718</v>
      </c>
      <c r="H111" s="76">
        <v>99.573600136126032</v>
      </c>
      <c r="I111" s="77">
        <v>27.715893087185432</v>
      </c>
      <c r="J111" s="77">
        <v>28.60439031374948</v>
      </c>
      <c r="K111" s="77">
        <v>65.301765424980772</v>
      </c>
      <c r="L111" s="77">
        <v>25.389326397232526</v>
      </c>
      <c r="M111" s="77">
        <v>30.965700129792094</v>
      </c>
      <c r="N111" s="77">
        <v>177.97707535294029</v>
      </c>
    </row>
    <row r="112" spans="1:14" x14ac:dyDescent="0.2">
      <c r="A112" s="75"/>
      <c r="B112" s="78" t="s">
        <v>225</v>
      </c>
      <c r="C112" s="79">
        <f t="shared" ref="C112:N112" si="1">AVERAGE(C106:C111)</f>
        <v>4.0764180034967739</v>
      </c>
      <c r="D112" s="79">
        <f t="shared" si="1"/>
        <v>4.1377938815548694</v>
      </c>
      <c r="E112" s="79">
        <f t="shared" si="1"/>
        <v>9.4462857787370904</v>
      </c>
      <c r="F112" s="79">
        <f t="shared" si="1"/>
        <v>3.6727159107729812</v>
      </c>
      <c r="G112" s="79">
        <f t="shared" si="1"/>
        <v>4.479371282859594</v>
      </c>
      <c r="H112" s="79">
        <f t="shared" si="1"/>
        <v>25.81258485742131</v>
      </c>
      <c r="I112" s="79">
        <f t="shared" si="1"/>
        <v>8.5121497468337566</v>
      </c>
      <c r="J112" s="79">
        <f t="shared" si="1"/>
        <v>8.6036072427808374</v>
      </c>
      <c r="K112" s="79">
        <f t="shared" si="1"/>
        <v>19.641416433430521</v>
      </c>
      <c r="L112" s="79">
        <f t="shared" si="1"/>
        <v>7.6365827093177883</v>
      </c>
      <c r="M112" s="79">
        <f t="shared" si="1"/>
        <v>9.3138402529208388</v>
      </c>
      <c r="N112" s="79">
        <f t="shared" si="1"/>
        <v>53.707596385283743</v>
      </c>
    </row>
    <row r="113" spans="1:78" x14ac:dyDescent="0.2">
      <c r="A113" s="30" t="s">
        <v>180</v>
      </c>
      <c r="B113" s="30" t="s">
        <v>181</v>
      </c>
      <c r="C113" s="70">
        <v>19.563326185750238</v>
      </c>
      <c r="D113" s="70">
        <v>49.860136814309165</v>
      </c>
      <c r="E113" s="70">
        <v>13.13101058929492</v>
      </c>
      <c r="F113" s="70">
        <v>16.370430901673981</v>
      </c>
      <c r="G113" s="70">
        <v>2.3279735233572714</v>
      </c>
      <c r="H113" s="70">
        <v>101.25287801438557</v>
      </c>
      <c r="I113" s="74">
        <v>4.7540998446574756</v>
      </c>
      <c r="J113" s="74">
        <v>12.116313705399483</v>
      </c>
      <c r="K113" s="74">
        <v>3.1909147012841825</v>
      </c>
      <c r="L113" s="74">
        <v>3.9781133580909911</v>
      </c>
      <c r="M113" s="74">
        <v>0.56571159465342602</v>
      </c>
      <c r="N113" s="74">
        <v>24.605153204085557</v>
      </c>
    </row>
    <row r="114" spans="1:78" x14ac:dyDescent="0.2">
      <c r="A114" s="67" t="s">
        <v>182</v>
      </c>
      <c r="B114" s="67" t="s">
        <v>215</v>
      </c>
      <c r="C114" s="71">
        <v>30.146312000000002</v>
      </c>
      <c r="D114" s="71">
        <v>0.53702016479999992</v>
      </c>
      <c r="E114" s="71">
        <v>12.75934339176</v>
      </c>
      <c r="F114" s="71">
        <v>16.969926711040799</v>
      </c>
      <c r="G114" s="71">
        <v>9.0183039092959678</v>
      </c>
      <c r="H114" s="71">
        <v>69.430906176896769</v>
      </c>
      <c r="I114" s="80">
        <v>1.2081999999999999</v>
      </c>
      <c r="J114" s="80">
        <v>2.1522624827586202E-2</v>
      </c>
      <c r="K114" s="80">
        <v>0.51136731703448268</v>
      </c>
      <c r="L114" s="80">
        <v>0.680118531655862</v>
      </c>
      <c r="M114" s="80">
        <v>0.36143441967997236</v>
      </c>
      <c r="N114" s="80">
        <v>2.7826428931979033</v>
      </c>
    </row>
    <row r="115" spans="1:78" x14ac:dyDescent="0.2">
      <c r="A115" s="67" t="s">
        <v>182</v>
      </c>
      <c r="B115" s="67" t="s">
        <v>184</v>
      </c>
      <c r="C115" s="71">
        <v>3.8238140000000005</v>
      </c>
      <c r="D115" s="71">
        <v>6.7823211999999994E-2</v>
      </c>
      <c r="E115" s="71">
        <v>1.6921891394000002</v>
      </c>
      <c r="F115" s="71">
        <v>2.2506115554020001</v>
      </c>
      <c r="G115" s="71">
        <v>1.1960392837279201</v>
      </c>
      <c r="H115" s="71">
        <v>9.0304771905299219</v>
      </c>
      <c r="I115" s="80">
        <v>0.3891</v>
      </c>
      <c r="J115" s="80">
        <v>6.9014894001643385E-3</v>
      </c>
      <c r="K115" s="80">
        <v>0.17219216053410025</v>
      </c>
      <c r="L115" s="80">
        <v>0.22901557351035337</v>
      </c>
      <c r="M115" s="80">
        <v>0.12170541906550204</v>
      </c>
      <c r="N115" s="80">
        <v>0.91891464251012001</v>
      </c>
    </row>
    <row r="116" spans="1:78" x14ac:dyDescent="0.2">
      <c r="A116" s="67" t="s">
        <v>182</v>
      </c>
      <c r="B116" s="67" t="s">
        <v>216</v>
      </c>
      <c r="C116" s="71">
        <v>3.6525143999999994</v>
      </c>
      <c r="D116" s="71">
        <v>0.25486391831999999</v>
      </c>
      <c r="E116" s="71">
        <v>2.6985750840840002</v>
      </c>
      <c r="F116" s="71">
        <v>3.5891048618317201</v>
      </c>
      <c r="G116" s="71">
        <v>1.9073528694305713</v>
      </c>
      <c r="H116" s="71">
        <v>12.102411133666291</v>
      </c>
      <c r="I116" s="80">
        <v>0.77585999999999999</v>
      </c>
      <c r="J116" s="80">
        <v>5.4137697490735472E-2</v>
      </c>
      <c r="K116" s="80">
        <v>0.57322606715456403</v>
      </c>
      <c r="L116" s="80">
        <v>0.7623906693155702</v>
      </c>
      <c r="M116" s="80">
        <v>0.4051561842648459</v>
      </c>
      <c r="N116" s="80">
        <v>2.5707706182257155</v>
      </c>
    </row>
    <row r="117" spans="1:78" x14ac:dyDescent="0.2">
      <c r="A117" s="67" t="s">
        <v>182</v>
      </c>
      <c r="B117" s="67" t="s">
        <v>186</v>
      </c>
      <c r="C117" s="71">
        <v>6.627694016720258</v>
      </c>
      <c r="D117" s="71">
        <v>0.65591717326610932</v>
      </c>
      <c r="E117" s="71">
        <v>3.3482204983784953</v>
      </c>
      <c r="F117" s="71">
        <v>4.4531332628433979</v>
      </c>
      <c r="G117" s="71">
        <v>2.3665222482539203</v>
      </c>
      <c r="H117" s="71">
        <v>17.451487199462179</v>
      </c>
      <c r="I117" s="80">
        <v>1.6707352609448429</v>
      </c>
      <c r="J117" s="80">
        <v>0.16534618931868703</v>
      </c>
      <c r="K117" s="80">
        <v>0.84403263547575136</v>
      </c>
      <c r="L117" s="80">
        <v>1.1225634051827493</v>
      </c>
      <c r="M117" s="80">
        <v>0.59656226675426105</v>
      </c>
      <c r="N117" s="80">
        <v>4.3992397576762912</v>
      </c>
    </row>
    <row r="118" spans="1:78" x14ac:dyDescent="0.2">
      <c r="A118" s="67"/>
      <c r="B118" s="72" t="s">
        <v>225</v>
      </c>
      <c r="C118" s="73">
        <f t="shared" ref="C118:N118" si="2">AVERAGE(C114:C117)</f>
        <v>11.062583604180064</v>
      </c>
      <c r="D118" s="73">
        <f t="shared" si="2"/>
        <v>0.37890611709652733</v>
      </c>
      <c r="E118" s="73">
        <f t="shared" si="2"/>
        <v>5.1245820284056238</v>
      </c>
      <c r="F118" s="73">
        <f t="shared" si="2"/>
        <v>6.8156940977794793</v>
      </c>
      <c r="G118" s="73">
        <f t="shared" si="2"/>
        <v>3.6220545776770949</v>
      </c>
      <c r="H118" s="73">
        <f t="shared" si="2"/>
        <v>27.003820425138791</v>
      </c>
      <c r="I118" s="73">
        <f t="shared" si="2"/>
        <v>1.0109738152362107</v>
      </c>
      <c r="J118" s="73">
        <f t="shared" si="2"/>
        <v>6.1977000259293258E-2</v>
      </c>
      <c r="K118" s="73">
        <f t="shared" si="2"/>
        <v>0.52520454504972458</v>
      </c>
      <c r="L118" s="73">
        <f t="shared" si="2"/>
        <v>0.69852204491613379</v>
      </c>
      <c r="M118" s="73">
        <f t="shared" si="2"/>
        <v>0.37121457244114531</v>
      </c>
      <c r="N118" s="73">
        <f t="shared" si="2"/>
        <v>2.6678919779025074</v>
      </c>
    </row>
    <row r="119" spans="1:78" x14ac:dyDescent="0.2">
      <c r="A119" s="30" t="s">
        <v>187</v>
      </c>
      <c r="B119" s="30" t="s">
        <v>188</v>
      </c>
      <c r="C119" s="70">
        <v>3.0174444040277466</v>
      </c>
      <c r="D119" s="70">
        <v>2.4762963715887945</v>
      </c>
      <c r="E119" s="70">
        <v>3.177399922438346E-2</v>
      </c>
      <c r="F119" s="70">
        <v>0.95226675675477246</v>
      </c>
      <c r="G119" s="70">
        <v>0.61579916936808632</v>
      </c>
      <c r="H119" s="70">
        <v>7.0935807009637832</v>
      </c>
      <c r="I119" s="74">
        <v>1.0549864578205415</v>
      </c>
      <c r="J119" s="74">
        <v>0.86578534275201791</v>
      </c>
      <c r="K119" s="74">
        <v>1.1109115663499956E-2</v>
      </c>
      <c r="L119" s="74">
        <v>0.3329401964350937</v>
      </c>
      <c r="M119" s="74">
        <v>0.21530132702802726</v>
      </c>
      <c r="N119" s="74">
        <v>2.4801224396991799</v>
      </c>
    </row>
    <row r="120" spans="1:78" x14ac:dyDescent="0.2">
      <c r="A120" s="30" t="s">
        <v>187</v>
      </c>
      <c r="B120" s="30" t="s">
        <v>189</v>
      </c>
      <c r="C120" s="70">
        <v>17.250924699577492</v>
      </c>
      <c r="D120" s="70">
        <v>22.243660700059767</v>
      </c>
      <c r="E120" s="70">
        <v>9.0609646920072535</v>
      </c>
      <c r="F120" s="70">
        <v>44.398726990835542</v>
      </c>
      <c r="G120" s="70">
        <v>3.9958854291751993</v>
      </c>
      <c r="H120" s="70">
        <v>96.95016251165525</v>
      </c>
      <c r="I120" s="74">
        <v>7.7114871922549302</v>
      </c>
      <c r="J120" s="74">
        <v>9.9433339130844587</v>
      </c>
      <c r="K120" s="74">
        <v>4.0504213187829512</v>
      </c>
      <c r="L120" s="74">
        <v>19.84706446203646</v>
      </c>
      <c r="M120" s="74">
        <v>1.7862358015832813</v>
      </c>
      <c r="N120" s="74">
        <v>43.338542687742084</v>
      </c>
    </row>
    <row r="121" spans="1:78" x14ac:dyDescent="0.2">
      <c r="A121" s="30" t="s">
        <v>190</v>
      </c>
      <c r="B121" s="30" t="s">
        <v>191</v>
      </c>
      <c r="C121" s="70">
        <v>53.73193365846339</v>
      </c>
      <c r="D121" s="70">
        <v>24.48018432096606</v>
      </c>
      <c r="E121" s="70">
        <v>55.642018950713449</v>
      </c>
      <c r="F121" s="70">
        <v>12.797664358664093</v>
      </c>
      <c r="G121" s="70">
        <v>6.2708555357454063</v>
      </c>
      <c r="H121" s="70">
        <v>152.92265682455238</v>
      </c>
      <c r="I121" s="74">
        <v>15.661871851224531</v>
      </c>
      <c r="J121" s="74">
        <v>7.1355241403811949</v>
      </c>
      <c r="K121" s="74">
        <v>16.218626634372313</v>
      </c>
      <c r="L121" s="74">
        <v>3.7302841259056327</v>
      </c>
      <c r="M121" s="74">
        <v>1.82783922169376</v>
      </c>
      <c r="N121" s="74">
        <v>44.57414597357743</v>
      </c>
    </row>
    <row r="122" spans="1:78" x14ac:dyDescent="0.2">
      <c r="A122" s="30" t="s">
        <v>190</v>
      </c>
      <c r="B122" s="30" t="s">
        <v>192</v>
      </c>
      <c r="C122" s="70">
        <v>0.63309984062685642</v>
      </c>
      <c r="D122" s="70">
        <v>0.29753313971757517</v>
      </c>
      <c r="E122" s="70">
        <v>0.67627532462865314</v>
      </c>
      <c r="F122" s="70">
        <v>0.15554332466459025</v>
      </c>
      <c r="G122" s="70">
        <v>7.621622908564922E-2</v>
      </c>
      <c r="H122" s="70">
        <v>1.8386678587233243</v>
      </c>
      <c r="I122" s="74">
        <v>2.5600433048570057</v>
      </c>
      <c r="J122" s="74">
        <v>1.203124173199722</v>
      </c>
      <c r="K122" s="74">
        <v>2.7346304736727798</v>
      </c>
      <c r="L122" s="74">
        <v>0.62896500894473939</v>
      </c>
      <c r="M122" s="74">
        <v>0.30819285438292227</v>
      </c>
      <c r="N122" s="74">
        <v>7.4349558150571697</v>
      </c>
    </row>
    <row r="123" spans="1:78" x14ac:dyDescent="0.2">
      <c r="A123" s="30" t="s">
        <v>193</v>
      </c>
      <c r="B123" s="30" t="s">
        <v>194</v>
      </c>
      <c r="C123" s="70">
        <v>1.4858513791381838</v>
      </c>
      <c r="D123" s="70">
        <v>1.7849538085677994</v>
      </c>
      <c r="E123" s="70">
        <v>1.2954549152355401</v>
      </c>
      <c r="F123" s="70">
        <v>1.2568503587615207</v>
      </c>
      <c r="G123" s="70">
        <v>0.40360706248030354</v>
      </c>
      <c r="H123" s="70">
        <v>6.2267175241833481</v>
      </c>
      <c r="I123" s="74">
        <v>6.140953075183246</v>
      </c>
      <c r="J123" s="74">
        <v>7.3771291891536315</v>
      </c>
      <c r="K123" s="74">
        <v>5.3540535461165382</v>
      </c>
      <c r="L123" s="74">
        <v>5.1945027504422638</v>
      </c>
      <c r="M123" s="74">
        <v>1.6680887915867348</v>
      </c>
      <c r="N123" s="74">
        <v>25.734727352482416</v>
      </c>
    </row>
    <row r="126" spans="1:78" hidden="1" x14ac:dyDescent="0.2"/>
    <row r="127" spans="1:78" s="96" customFormat="1" hidden="1" x14ac:dyDescent="0.2">
      <c r="A127" s="96" t="s">
        <v>639</v>
      </c>
    </row>
    <row r="128" spans="1:78" s="96" customFormat="1" hidden="1" x14ac:dyDescent="0.2">
      <c r="A128" s="96" t="s">
        <v>733</v>
      </c>
      <c r="B128" s="96" t="s">
        <v>553</v>
      </c>
      <c r="C128" s="96" t="s">
        <v>554</v>
      </c>
      <c r="D128" s="96" t="s">
        <v>555</v>
      </c>
      <c r="E128" s="96" t="s">
        <v>556</v>
      </c>
      <c r="F128" s="96" t="s">
        <v>557</v>
      </c>
      <c r="G128" s="96" t="s">
        <v>558</v>
      </c>
      <c r="H128" s="96" t="s">
        <v>559</v>
      </c>
      <c r="I128" s="96" t="s">
        <v>560</v>
      </c>
      <c r="J128" s="96" t="s">
        <v>561</v>
      </c>
      <c r="K128" s="96" t="s">
        <v>562</v>
      </c>
      <c r="L128" s="96" t="s">
        <v>563</v>
      </c>
      <c r="M128" s="96" t="s">
        <v>564</v>
      </c>
      <c r="N128" s="96" t="s">
        <v>565</v>
      </c>
      <c r="O128" s="96" t="s">
        <v>566</v>
      </c>
      <c r="P128" s="96" t="s">
        <v>567</v>
      </c>
      <c r="Q128" s="96" t="s">
        <v>568</v>
      </c>
      <c r="R128" s="96" t="s">
        <v>569</v>
      </c>
      <c r="S128" s="96" t="s">
        <v>570</v>
      </c>
      <c r="T128" s="96" t="s">
        <v>571</v>
      </c>
      <c r="U128" s="96" t="s">
        <v>572</v>
      </c>
      <c r="V128" s="96" t="s">
        <v>573</v>
      </c>
      <c r="W128" s="96" t="s">
        <v>574</v>
      </c>
      <c r="X128" s="96" t="s">
        <v>575</v>
      </c>
      <c r="Y128" s="96" t="s">
        <v>576</v>
      </c>
      <c r="Z128" s="96" t="s">
        <v>577</v>
      </c>
      <c r="AA128" s="96" t="s">
        <v>578</v>
      </c>
      <c r="AB128" s="96" t="s">
        <v>579</v>
      </c>
      <c r="AC128" s="96" t="s">
        <v>580</v>
      </c>
      <c r="AD128" s="96" t="s">
        <v>581</v>
      </c>
      <c r="AE128" s="96" t="s">
        <v>582</v>
      </c>
      <c r="AF128" s="96" t="s">
        <v>583</v>
      </c>
      <c r="AG128" s="96" t="s">
        <v>584</v>
      </c>
      <c r="AH128" s="96" t="s">
        <v>585</v>
      </c>
      <c r="AI128" s="96" t="s">
        <v>586</v>
      </c>
      <c r="AJ128" s="96" t="s">
        <v>587</v>
      </c>
      <c r="AK128" s="96" t="s">
        <v>588</v>
      </c>
      <c r="AL128" s="96" t="s">
        <v>589</v>
      </c>
      <c r="AM128" s="96" t="s">
        <v>590</v>
      </c>
      <c r="AN128" s="96" t="s">
        <v>591</v>
      </c>
      <c r="AO128" s="96" t="s">
        <v>592</v>
      </c>
      <c r="AP128" s="96" t="s">
        <v>593</v>
      </c>
      <c r="AQ128" s="96" t="s">
        <v>594</v>
      </c>
      <c r="AR128" s="96" t="s">
        <v>595</v>
      </c>
      <c r="AS128" s="96" t="s">
        <v>596</v>
      </c>
      <c r="AT128" s="96" t="s">
        <v>597</v>
      </c>
      <c r="AU128" s="96" t="s">
        <v>598</v>
      </c>
      <c r="AV128" s="96" t="s">
        <v>599</v>
      </c>
      <c r="AW128" s="96" t="s">
        <v>600</v>
      </c>
      <c r="AX128" s="96" t="s">
        <v>601</v>
      </c>
      <c r="AY128" s="96" t="s">
        <v>602</v>
      </c>
      <c r="AZ128" s="96" t="s">
        <v>603</v>
      </c>
      <c r="BA128" s="96" t="s">
        <v>604</v>
      </c>
      <c r="BB128" s="96" t="s">
        <v>605</v>
      </c>
      <c r="BC128" s="96" t="s">
        <v>606</v>
      </c>
      <c r="BD128" s="96" t="s">
        <v>607</v>
      </c>
      <c r="BE128" s="96" t="s">
        <v>608</v>
      </c>
      <c r="BF128" s="96" t="s">
        <v>609</v>
      </c>
      <c r="BG128" s="96" t="s">
        <v>610</v>
      </c>
      <c r="BH128" s="96" t="s">
        <v>611</v>
      </c>
      <c r="BI128" s="96" t="s">
        <v>612</v>
      </c>
      <c r="BJ128" s="96" t="s">
        <v>613</v>
      </c>
      <c r="BK128" s="96" t="s">
        <v>614</v>
      </c>
      <c r="BL128" s="96" t="s">
        <v>615</v>
      </c>
      <c r="BM128" s="96" t="s">
        <v>616</v>
      </c>
      <c r="BN128" s="96" t="s">
        <v>617</v>
      </c>
      <c r="BO128" s="96" t="s">
        <v>618</v>
      </c>
      <c r="BP128" s="96" t="s">
        <v>619</v>
      </c>
      <c r="BQ128" s="96" t="s">
        <v>620</v>
      </c>
      <c r="BR128" s="96" t="s">
        <v>621</v>
      </c>
      <c r="BS128" s="96" t="s">
        <v>622</v>
      </c>
      <c r="BT128" s="96" t="s">
        <v>623</v>
      </c>
      <c r="BU128" s="96" t="s">
        <v>624</v>
      </c>
      <c r="BV128" s="96" t="s">
        <v>625</v>
      </c>
      <c r="BW128" s="96" t="s">
        <v>626</v>
      </c>
      <c r="BX128" s="96" t="s">
        <v>627</v>
      </c>
      <c r="BY128" s="96" t="s">
        <v>628</v>
      </c>
      <c r="BZ128" s="96" t="s">
        <v>629</v>
      </c>
    </row>
    <row r="129" spans="1:78" s="96" customFormat="1" hidden="1" x14ac:dyDescent="0.2">
      <c r="A129" s="96" t="s">
        <v>630</v>
      </c>
      <c r="B129" s="96">
        <v>75058544</v>
      </c>
      <c r="C129" s="96">
        <v>75903752</v>
      </c>
      <c r="D129" s="96">
        <v>72323681</v>
      </c>
      <c r="E129" s="96">
        <v>54121439</v>
      </c>
      <c r="F129" s="96">
        <v>63314302</v>
      </c>
      <c r="G129" s="96">
        <v>64081411</v>
      </c>
      <c r="H129" s="96">
        <v>55584973</v>
      </c>
      <c r="I129" s="96">
        <v>62122551</v>
      </c>
      <c r="J129" s="96">
        <v>56257304</v>
      </c>
      <c r="K129" s="96">
        <v>51840489</v>
      </c>
      <c r="L129" s="96">
        <v>57017677</v>
      </c>
      <c r="M129" s="96">
        <v>48478112</v>
      </c>
      <c r="N129" s="96">
        <v>52261450</v>
      </c>
      <c r="O129" s="96">
        <v>56417817</v>
      </c>
      <c r="P129" s="96">
        <v>53410001</v>
      </c>
      <c r="Q129" s="96">
        <v>46446586</v>
      </c>
      <c r="R129" s="96">
        <v>54346645</v>
      </c>
      <c r="S129" s="96">
        <v>56135912</v>
      </c>
      <c r="T129" s="96">
        <v>51802132</v>
      </c>
      <c r="U129" s="96">
        <v>51415560</v>
      </c>
      <c r="V129" s="96">
        <v>49068356</v>
      </c>
      <c r="W129" s="96">
        <v>49948953</v>
      </c>
      <c r="X129" s="96">
        <v>52965176</v>
      </c>
      <c r="Y129" s="96">
        <v>48845924</v>
      </c>
      <c r="Z129" s="96">
        <v>52681450</v>
      </c>
      <c r="AA129" s="96">
        <v>52900958</v>
      </c>
      <c r="AB129" s="96">
        <v>51339878</v>
      </c>
      <c r="AC129" s="96">
        <v>45008515</v>
      </c>
      <c r="AD129" s="96">
        <v>49246627</v>
      </c>
      <c r="AE129" s="96">
        <v>45253865</v>
      </c>
      <c r="AF129" s="96">
        <v>49402365</v>
      </c>
      <c r="AG129" s="96">
        <v>51889502</v>
      </c>
      <c r="AH129" s="96">
        <v>48959187</v>
      </c>
      <c r="AI129" s="96">
        <v>49259954</v>
      </c>
      <c r="AJ129" s="96">
        <v>46574586</v>
      </c>
      <c r="AK129" s="96">
        <v>46726290</v>
      </c>
      <c r="AL129" s="96">
        <v>45561963</v>
      </c>
      <c r="AM129" s="96">
        <v>44966738</v>
      </c>
      <c r="AN129" s="96">
        <v>51593268</v>
      </c>
      <c r="AO129" s="96">
        <v>42748424</v>
      </c>
      <c r="AP129" s="96">
        <v>44382920</v>
      </c>
      <c r="AQ129" s="96">
        <v>49869770</v>
      </c>
      <c r="AR129" s="96">
        <v>50653907</v>
      </c>
      <c r="AS129" s="96">
        <v>53182943</v>
      </c>
      <c r="AT129" s="96">
        <v>55799312</v>
      </c>
      <c r="AU129" s="96">
        <v>58466009</v>
      </c>
      <c r="AV129" s="96">
        <v>61029374</v>
      </c>
      <c r="AW129" s="96">
        <v>59649162</v>
      </c>
      <c r="AX129" s="96">
        <v>57604263</v>
      </c>
      <c r="AY129" s="96">
        <v>56116002</v>
      </c>
      <c r="AZ129" s="96">
        <v>58079982</v>
      </c>
      <c r="BA129" s="96">
        <v>44958373</v>
      </c>
      <c r="BB129" s="96">
        <v>50026788</v>
      </c>
      <c r="BC129" s="96">
        <v>54349357</v>
      </c>
      <c r="BD129" s="96">
        <v>50674908</v>
      </c>
      <c r="BE129" s="96">
        <v>47945213</v>
      </c>
      <c r="BF129" s="96">
        <v>45980374</v>
      </c>
      <c r="BG129" s="96">
        <v>44714491</v>
      </c>
      <c r="BH129" s="96">
        <v>46107788</v>
      </c>
      <c r="BI129" s="96">
        <v>45039845</v>
      </c>
      <c r="BJ129" s="96">
        <v>41559697</v>
      </c>
      <c r="BK129" s="96">
        <v>45169547</v>
      </c>
      <c r="BL129" s="96">
        <v>47668437</v>
      </c>
      <c r="BM129" s="96">
        <v>37643664</v>
      </c>
      <c r="BN129" s="96">
        <v>39028616</v>
      </c>
      <c r="BO129" s="96">
        <v>40154550</v>
      </c>
      <c r="BP129" s="96">
        <v>38477878</v>
      </c>
      <c r="BQ129" s="96">
        <v>38173829</v>
      </c>
      <c r="BR129" s="96">
        <v>38801413</v>
      </c>
      <c r="BS129" s="96">
        <v>36472279</v>
      </c>
      <c r="BT129" s="96">
        <v>37843646</v>
      </c>
      <c r="BU129" s="96">
        <v>35120892</v>
      </c>
      <c r="BV129" s="96">
        <v>31458238</v>
      </c>
      <c r="BW129" s="96">
        <v>35878828</v>
      </c>
      <c r="BX129" s="96">
        <v>40433029</v>
      </c>
      <c r="BY129" s="96">
        <v>39472637</v>
      </c>
      <c r="BZ129" s="96">
        <v>41180224</v>
      </c>
    </row>
    <row r="130" spans="1:78" s="96" customFormat="1" hidden="1" x14ac:dyDescent="0.2">
      <c r="A130" s="96" t="s">
        <v>631</v>
      </c>
      <c r="B130" s="96">
        <v>184182</v>
      </c>
      <c r="C130" s="96">
        <v>195141</v>
      </c>
      <c r="D130" s="96">
        <v>203018</v>
      </c>
      <c r="E130" s="96">
        <v>169847</v>
      </c>
      <c r="F130" s="96">
        <v>194521</v>
      </c>
      <c r="G130" s="96">
        <v>208495</v>
      </c>
      <c r="H130" s="96">
        <v>171607</v>
      </c>
      <c r="I130" s="96">
        <v>180139</v>
      </c>
      <c r="J130" s="96">
        <v>161709</v>
      </c>
      <c r="K130" s="96">
        <v>170876</v>
      </c>
      <c r="L130" s="96">
        <v>193723</v>
      </c>
      <c r="M130" s="96">
        <v>167231</v>
      </c>
      <c r="N130" s="96">
        <v>165636</v>
      </c>
      <c r="O130" s="96">
        <v>165216</v>
      </c>
      <c r="P130" s="96">
        <v>165859</v>
      </c>
      <c r="Q130" s="96">
        <v>155764</v>
      </c>
      <c r="R130" s="96">
        <v>170476</v>
      </c>
      <c r="S130" s="96">
        <v>169456</v>
      </c>
      <c r="T130" s="96">
        <v>157927</v>
      </c>
      <c r="U130" s="96">
        <v>165238</v>
      </c>
      <c r="V130" s="96">
        <v>180652</v>
      </c>
      <c r="W130" s="96">
        <v>187362</v>
      </c>
      <c r="X130" s="96">
        <v>202613</v>
      </c>
      <c r="Y130" s="96">
        <v>159484</v>
      </c>
      <c r="Z130" s="96">
        <v>174625</v>
      </c>
      <c r="AA130" s="96">
        <v>169783</v>
      </c>
      <c r="AB130" s="96">
        <v>159285</v>
      </c>
      <c r="AC130" s="96">
        <v>131607</v>
      </c>
      <c r="AD130" s="96">
        <v>166195</v>
      </c>
      <c r="AE130" s="96">
        <v>163994</v>
      </c>
      <c r="AF130" s="96">
        <v>151832</v>
      </c>
      <c r="AG130" s="96">
        <v>142254</v>
      </c>
      <c r="AH130" s="96">
        <v>127898</v>
      </c>
      <c r="AI130" s="96">
        <v>154715</v>
      </c>
      <c r="AJ130" s="96">
        <v>164614</v>
      </c>
      <c r="AK130" s="96">
        <v>163092</v>
      </c>
      <c r="AL130" s="96">
        <v>202475</v>
      </c>
      <c r="AM130" s="96">
        <v>158595</v>
      </c>
      <c r="AN130" s="96">
        <v>159458</v>
      </c>
      <c r="AO130" s="96">
        <v>123576</v>
      </c>
      <c r="AP130" s="96">
        <v>108541</v>
      </c>
      <c r="AQ130" s="96">
        <v>152371</v>
      </c>
      <c r="AR130" s="96">
        <v>168360</v>
      </c>
      <c r="AS130" s="96">
        <v>182063</v>
      </c>
      <c r="AT130" s="96">
        <v>205550</v>
      </c>
      <c r="AU130" s="96">
        <v>207307</v>
      </c>
      <c r="AV130" s="96">
        <v>194221</v>
      </c>
      <c r="AW130" s="96">
        <v>172627</v>
      </c>
      <c r="AX130" s="96">
        <v>163357</v>
      </c>
      <c r="AY130" s="96">
        <v>158373</v>
      </c>
      <c r="AZ130" s="96">
        <v>135268</v>
      </c>
      <c r="BA130" s="96">
        <v>108983</v>
      </c>
      <c r="BB130" s="96">
        <v>126302</v>
      </c>
      <c r="BC130" s="96">
        <v>146861</v>
      </c>
      <c r="BD130" s="96">
        <v>136009</v>
      </c>
      <c r="BE130" s="96">
        <v>128345</v>
      </c>
      <c r="BF130" s="96">
        <v>146196</v>
      </c>
      <c r="BG130" s="96">
        <v>145762</v>
      </c>
      <c r="BH130" s="96">
        <v>169407</v>
      </c>
      <c r="BI130" s="96">
        <v>150025</v>
      </c>
      <c r="BJ130" s="96">
        <v>143410</v>
      </c>
      <c r="BK130" s="96">
        <v>136717</v>
      </c>
      <c r="BL130" s="96">
        <v>137299</v>
      </c>
      <c r="BM130" s="96">
        <v>108088</v>
      </c>
      <c r="BN130" s="96">
        <v>110585</v>
      </c>
      <c r="BO130" s="96">
        <v>143393</v>
      </c>
      <c r="BP130" s="96">
        <v>134922</v>
      </c>
      <c r="BQ130" s="96">
        <v>136760</v>
      </c>
      <c r="BR130" s="96">
        <v>126794</v>
      </c>
      <c r="BS130" s="96">
        <v>137407</v>
      </c>
      <c r="BT130" s="96">
        <v>153816</v>
      </c>
      <c r="BU130" s="96">
        <v>152160</v>
      </c>
      <c r="BV130" s="96">
        <v>135626</v>
      </c>
      <c r="BW130" s="96">
        <v>130282</v>
      </c>
      <c r="BX130" s="96">
        <v>124673</v>
      </c>
      <c r="BY130" s="96">
        <v>107656</v>
      </c>
      <c r="BZ130" s="96">
        <v>125402</v>
      </c>
    </row>
    <row r="131" spans="1:78" s="96" customFormat="1" hidden="1" x14ac:dyDescent="0.2">
      <c r="A131" s="96" t="s">
        <v>632</v>
      </c>
      <c r="B131" s="96">
        <v>121292</v>
      </c>
      <c r="C131" s="96">
        <v>124187</v>
      </c>
      <c r="D131" s="96">
        <v>119067</v>
      </c>
      <c r="E131" s="96">
        <v>122837</v>
      </c>
      <c r="F131" s="96">
        <v>141741</v>
      </c>
      <c r="G131" s="96">
        <v>177433</v>
      </c>
      <c r="H131" s="96">
        <v>136321</v>
      </c>
      <c r="I131" s="96">
        <v>152232</v>
      </c>
      <c r="J131" s="96">
        <v>138782</v>
      </c>
      <c r="K131" s="96">
        <v>124291</v>
      </c>
      <c r="L131" s="96">
        <v>137702</v>
      </c>
      <c r="M131" s="96">
        <v>111453</v>
      </c>
      <c r="N131" s="96">
        <v>111464</v>
      </c>
      <c r="O131" s="96">
        <v>121671</v>
      </c>
      <c r="P131" s="96">
        <v>115139</v>
      </c>
      <c r="Q131" s="96">
        <v>100656</v>
      </c>
      <c r="R131" s="96">
        <v>141082</v>
      </c>
      <c r="S131" s="96">
        <v>159735</v>
      </c>
      <c r="T131" s="96">
        <v>139899</v>
      </c>
      <c r="U131" s="96">
        <v>150990</v>
      </c>
      <c r="V131" s="96">
        <v>127423</v>
      </c>
      <c r="W131" s="96">
        <v>133200</v>
      </c>
      <c r="X131" s="96">
        <v>122024</v>
      </c>
      <c r="Y131" s="96">
        <v>102245</v>
      </c>
      <c r="Z131" s="96">
        <v>118187</v>
      </c>
      <c r="AA131" s="96">
        <v>110733</v>
      </c>
      <c r="AB131" s="96">
        <v>108829</v>
      </c>
      <c r="AC131" s="96">
        <v>99212</v>
      </c>
      <c r="AD131" s="96">
        <v>145514</v>
      </c>
      <c r="AE131" s="96">
        <v>151410</v>
      </c>
      <c r="AF131" s="96">
        <v>135570</v>
      </c>
      <c r="AG131" s="96">
        <v>146895</v>
      </c>
      <c r="AH131" s="96">
        <v>141370</v>
      </c>
      <c r="AI131" s="96">
        <v>143473</v>
      </c>
      <c r="AJ131" s="96">
        <v>130448</v>
      </c>
      <c r="AK131" s="96">
        <v>124092</v>
      </c>
      <c r="AL131" s="96">
        <v>133172</v>
      </c>
      <c r="AM131" s="96">
        <v>110231</v>
      </c>
      <c r="AN131" s="96">
        <v>130956</v>
      </c>
      <c r="AO131" s="96">
        <v>96949</v>
      </c>
      <c r="AP131" s="96">
        <v>125528</v>
      </c>
      <c r="AQ131" s="96">
        <v>189622</v>
      </c>
      <c r="AR131" s="96">
        <v>168843</v>
      </c>
      <c r="AS131" s="96">
        <v>151375</v>
      </c>
      <c r="AT131" s="96">
        <v>150516</v>
      </c>
      <c r="AU131" s="96">
        <v>146670</v>
      </c>
      <c r="AV131" s="96">
        <v>137174</v>
      </c>
      <c r="AW131" s="96">
        <v>136837</v>
      </c>
      <c r="AX131" s="96">
        <v>136174</v>
      </c>
      <c r="AY131" s="96">
        <v>136356</v>
      </c>
      <c r="AZ131" s="96">
        <v>123474</v>
      </c>
      <c r="BA131" s="96">
        <v>93584</v>
      </c>
      <c r="BB131" s="96">
        <v>141179</v>
      </c>
      <c r="BC131" s="96">
        <v>192258</v>
      </c>
      <c r="BD131" s="96">
        <v>147032</v>
      </c>
      <c r="BE131" s="96">
        <v>120845</v>
      </c>
      <c r="BF131" s="96">
        <v>119914</v>
      </c>
      <c r="BG131" s="96">
        <v>107280</v>
      </c>
      <c r="BH131" s="96">
        <v>116536</v>
      </c>
      <c r="BI131" s="96">
        <v>106801</v>
      </c>
      <c r="BJ131" s="96">
        <v>104720</v>
      </c>
      <c r="BK131" s="96">
        <v>106356</v>
      </c>
      <c r="BL131" s="96">
        <v>110167</v>
      </c>
      <c r="BM131" s="96">
        <v>93034</v>
      </c>
      <c r="BN131" s="96">
        <v>127894</v>
      </c>
      <c r="BO131" s="96">
        <v>160815</v>
      </c>
      <c r="BP131" s="96">
        <v>115214</v>
      </c>
      <c r="BQ131" s="96">
        <v>119028</v>
      </c>
      <c r="BR131" s="96">
        <v>103409</v>
      </c>
      <c r="BS131" s="96">
        <v>100963</v>
      </c>
      <c r="BT131" s="96">
        <v>112884</v>
      </c>
      <c r="BU131" s="96">
        <v>114164</v>
      </c>
      <c r="BV131" s="96">
        <v>86143</v>
      </c>
      <c r="BW131" s="96">
        <v>97804</v>
      </c>
      <c r="BX131" s="96">
        <v>95108</v>
      </c>
      <c r="BY131" s="96">
        <v>84459</v>
      </c>
      <c r="BZ131" s="96">
        <v>122535</v>
      </c>
    </row>
    <row r="132" spans="1:78" s="96" customFormat="1" hidden="1" x14ac:dyDescent="0.2">
      <c r="A132" s="96" t="s">
        <v>633</v>
      </c>
      <c r="B132" s="96">
        <v>203609</v>
      </c>
      <c r="C132" s="96">
        <v>212989</v>
      </c>
      <c r="D132" s="96">
        <v>197046</v>
      </c>
      <c r="E132" s="96">
        <v>183052</v>
      </c>
      <c r="F132" s="96">
        <v>242811</v>
      </c>
      <c r="G132" s="96">
        <v>236270</v>
      </c>
      <c r="H132" s="96">
        <v>194554</v>
      </c>
      <c r="I132" s="96">
        <v>222153</v>
      </c>
      <c r="J132" s="96">
        <v>202887</v>
      </c>
      <c r="K132" s="96">
        <v>209487</v>
      </c>
      <c r="L132" s="96">
        <v>218834</v>
      </c>
      <c r="M132" s="96">
        <v>198548</v>
      </c>
      <c r="N132" s="96">
        <v>195411</v>
      </c>
      <c r="O132" s="96">
        <v>193541</v>
      </c>
      <c r="P132" s="96">
        <v>195212</v>
      </c>
      <c r="Q132" s="96">
        <v>181390</v>
      </c>
      <c r="R132" s="96">
        <v>231085</v>
      </c>
      <c r="S132" s="96">
        <v>224917</v>
      </c>
      <c r="T132" s="96">
        <v>201266</v>
      </c>
      <c r="U132" s="96">
        <v>211613</v>
      </c>
      <c r="V132" s="96">
        <v>190583</v>
      </c>
      <c r="W132" s="96">
        <v>208074</v>
      </c>
      <c r="X132" s="96">
        <v>219394</v>
      </c>
      <c r="Y132" s="96">
        <v>184703</v>
      </c>
      <c r="Z132" s="96">
        <v>201675</v>
      </c>
      <c r="AA132" s="96">
        <v>195774</v>
      </c>
      <c r="AB132" s="96">
        <v>199737</v>
      </c>
      <c r="AC132" s="96">
        <v>170511</v>
      </c>
      <c r="AD132" s="96">
        <v>244799</v>
      </c>
      <c r="AE132" s="96">
        <v>197037</v>
      </c>
      <c r="AF132" s="96">
        <v>196935</v>
      </c>
      <c r="AG132" s="96">
        <v>192597</v>
      </c>
      <c r="AH132" s="96">
        <v>198503</v>
      </c>
      <c r="AI132" s="96">
        <v>210676</v>
      </c>
      <c r="AJ132" s="96">
        <v>198340</v>
      </c>
      <c r="AK132" s="96">
        <v>195481</v>
      </c>
      <c r="AL132" s="96">
        <v>205412</v>
      </c>
      <c r="AM132" s="96">
        <v>188282</v>
      </c>
      <c r="AN132" s="96">
        <v>206513</v>
      </c>
      <c r="AO132" s="96">
        <v>173955</v>
      </c>
      <c r="AP132" s="96">
        <v>203858</v>
      </c>
      <c r="AQ132" s="96">
        <v>213763</v>
      </c>
      <c r="AR132" s="96">
        <v>214267</v>
      </c>
      <c r="AS132" s="96">
        <v>188718</v>
      </c>
      <c r="AT132" s="96">
        <v>208734</v>
      </c>
      <c r="AU132" s="96">
        <v>214650</v>
      </c>
      <c r="AV132" s="96">
        <v>209167</v>
      </c>
      <c r="AW132" s="96">
        <v>217088</v>
      </c>
      <c r="AX132" s="96">
        <v>198634</v>
      </c>
      <c r="AY132" s="96">
        <v>226253</v>
      </c>
      <c r="AZ132" s="96">
        <v>209907</v>
      </c>
      <c r="BA132" s="96">
        <v>158200</v>
      </c>
      <c r="BB132" s="96">
        <v>226376</v>
      </c>
      <c r="BC132" s="96">
        <v>235587</v>
      </c>
      <c r="BD132" s="96">
        <v>205674</v>
      </c>
      <c r="BE132" s="96">
        <v>195947</v>
      </c>
      <c r="BF132" s="96">
        <v>194609</v>
      </c>
      <c r="BG132" s="96">
        <v>210017</v>
      </c>
      <c r="BH132" s="96">
        <v>214306</v>
      </c>
      <c r="BI132" s="96">
        <v>205652</v>
      </c>
      <c r="BJ132" s="96">
        <v>182769</v>
      </c>
      <c r="BK132" s="96">
        <v>193697</v>
      </c>
      <c r="BL132" s="96">
        <v>206114</v>
      </c>
      <c r="BM132" s="96">
        <v>176890</v>
      </c>
      <c r="BN132" s="96">
        <v>217320</v>
      </c>
      <c r="BO132" s="96">
        <v>223394</v>
      </c>
      <c r="BP132" s="96">
        <v>186750</v>
      </c>
      <c r="BQ132" s="96">
        <v>196274</v>
      </c>
      <c r="BR132" s="96">
        <v>184643</v>
      </c>
      <c r="BS132" s="96">
        <v>200836</v>
      </c>
      <c r="BT132" s="96">
        <v>226729</v>
      </c>
      <c r="BU132" s="96">
        <v>207951</v>
      </c>
      <c r="BV132" s="96">
        <v>204112</v>
      </c>
      <c r="BW132" s="96">
        <v>217899</v>
      </c>
      <c r="BX132" s="96">
        <v>199147</v>
      </c>
      <c r="BY132" s="96">
        <v>169661</v>
      </c>
      <c r="BZ132" s="96">
        <v>201040</v>
      </c>
    </row>
    <row r="133" spans="1:78" s="96" customFormat="1" hidden="1" x14ac:dyDescent="0.2">
      <c r="A133" s="96" t="s">
        <v>634</v>
      </c>
      <c r="B133" s="96">
        <v>160941</v>
      </c>
      <c r="C133" s="96">
        <v>176788</v>
      </c>
      <c r="D133" s="96">
        <v>192339</v>
      </c>
      <c r="E133" s="96">
        <v>157367</v>
      </c>
      <c r="F133" s="96">
        <v>182520</v>
      </c>
      <c r="G133" s="96">
        <v>176099</v>
      </c>
      <c r="H133" s="96">
        <v>170350</v>
      </c>
      <c r="I133" s="96">
        <v>208894</v>
      </c>
      <c r="J133" s="96">
        <v>186545</v>
      </c>
      <c r="K133" s="96">
        <v>180579</v>
      </c>
      <c r="L133" s="96">
        <v>222760</v>
      </c>
      <c r="M133" s="96">
        <v>210703</v>
      </c>
      <c r="N133" s="96">
        <v>240551</v>
      </c>
      <c r="O133" s="96">
        <v>199638</v>
      </c>
      <c r="P133" s="96">
        <v>222853</v>
      </c>
      <c r="Q133" s="96">
        <v>205100</v>
      </c>
      <c r="R133" s="96">
        <v>202609</v>
      </c>
      <c r="S133" s="96">
        <v>200252</v>
      </c>
      <c r="T133" s="96">
        <v>206769</v>
      </c>
      <c r="U133" s="96">
        <v>210129</v>
      </c>
      <c r="V133" s="96">
        <v>179199</v>
      </c>
      <c r="W133" s="96">
        <v>198176</v>
      </c>
      <c r="X133" s="96">
        <v>209282</v>
      </c>
      <c r="Y133" s="96">
        <v>177369</v>
      </c>
      <c r="Z133" s="96">
        <v>158823</v>
      </c>
      <c r="AA133" s="96">
        <v>143010</v>
      </c>
      <c r="AB133" s="96">
        <v>152705</v>
      </c>
      <c r="AC133" s="96">
        <v>109424</v>
      </c>
      <c r="AD133" s="96">
        <v>139549</v>
      </c>
      <c r="AE133" s="96">
        <v>123198</v>
      </c>
      <c r="AF133" s="96">
        <v>129736</v>
      </c>
      <c r="AG133" s="96">
        <v>125078</v>
      </c>
      <c r="AH133" s="96">
        <v>108011</v>
      </c>
      <c r="AI133" s="96">
        <v>124850</v>
      </c>
      <c r="AJ133" s="96">
        <v>109334</v>
      </c>
      <c r="AK133" s="96">
        <v>104776</v>
      </c>
      <c r="AL133" s="96">
        <v>117258</v>
      </c>
      <c r="AM133" s="96">
        <v>107830</v>
      </c>
      <c r="AN133" s="96">
        <v>136677</v>
      </c>
      <c r="AO133" s="96">
        <v>113960</v>
      </c>
      <c r="AP133" s="96">
        <v>127142</v>
      </c>
      <c r="AQ133" s="96">
        <v>124785</v>
      </c>
      <c r="AR133" s="96">
        <v>127321</v>
      </c>
      <c r="AS133" s="96">
        <v>115228</v>
      </c>
      <c r="AT133" s="96">
        <v>134202</v>
      </c>
      <c r="AU133" s="96">
        <v>129105</v>
      </c>
      <c r="AV133" s="96">
        <v>114432</v>
      </c>
      <c r="AW133" s="96">
        <v>122408</v>
      </c>
      <c r="AX133" s="96">
        <v>109471</v>
      </c>
      <c r="AY133" s="96">
        <v>125277</v>
      </c>
      <c r="AZ133" s="96">
        <v>120573</v>
      </c>
      <c r="BA133" s="96">
        <v>108568</v>
      </c>
      <c r="BB133" s="96">
        <v>121962</v>
      </c>
      <c r="BC133" s="96">
        <v>125983</v>
      </c>
      <c r="BD133" s="96">
        <v>122268</v>
      </c>
      <c r="BE133" s="96">
        <v>111427</v>
      </c>
      <c r="BF133" s="96">
        <v>105406</v>
      </c>
      <c r="BG133" s="96">
        <v>96335</v>
      </c>
      <c r="BH133" s="96">
        <v>95200</v>
      </c>
      <c r="BI133" s="96">
        <v>111459</v>
      </c>
      <c r="BJ133" s="96">
        <v>104280</v>
      </c>
      <c r="BK133" s="96">
        <v>93250</v>
      </c>
      <c r="BL133" s="96">
        <v>120982</v>
      </c>
      <c r="BM133" s="96">
        <v>94544</v>
      </c>
      <c r="BN133" s="96">
        <v>101962</v>
      </c>
      <c r="BO133" s="96">
        <v>111713</v>
      </c>
      <c r="BP133" s="96">
        <v>98533</v>
      </c>
      <c r="BQ133" s="96">
        <v>103585</v>
      </c>
      <c r="BR133" s="96">
        <v>88207</v>
      </c>
      <c r="BS133" s="96">
        <v>91349</v>
      </c>
      <c r="BT133" s="96">
        <v>86592</v>
      </c>
      <c r="BU133" s="96">
        <v>74964</v>
      </c>
      <c r="BV133" s="96">
        <v>83398</v>
      </c>
      <c r="BW133" s="96">
        <v>99787</v>
      </c>
      <c r="BX133" s="96">
        <v>123011</v>
      </c>
      <c r="BY133" s="96">
        <v>109737</v>
      </c>
      <c r="BZ133" s="96">
        <v>107920</v>
      </c>
    </row>
    <row r="134" spans="1:78" s="96" customFormat="1" hidden="1" x14ac:dyDescent="0.2">
      <c r="A134" s="96" t="s">
        <v>635</v>
      </c>
      <c r="B134" s="96">
        <v>327851</v>
      </c>
      <c r="C134" s="96">
        <v>369734</v>
      </c>
      <c r="D134" s="96">
        <v>277188</v>
      </c>
      <c r="E134" s="96">
        <v>206386</v>
      </c>
      <c r="F134" s="96">
        <v>285107</v>
      </c>
      <c r="G134" s="96">
        <v>359452</v>
      </c>
      <c r="H134" s="96">
        <v>309616</v>
      </c>
      <c r="I134" s="96">
        <v>305345</v>
      </c>
      <c r="J134" s="96">
        <v>322937</v>
      </c>
      <c r="K134" s="96">
        <v>303013</v>
      </c>
      <c r="L134" s="96">
        <v>338153</v>
      </c>
      <c r="M134" s="96">
        <v>299842</v>
      </c>
      <c r="N134" s="96">
        <v>344452</v>
      </c>
      <c r="O134" s="96">
        <v>323966</v>
      </c>
      <c r="P134" s="96">
        <v>275548</v>
      </c>
      <c r="Q134" s="96">
        <v>212444</v>
      </c>
      <c r="R134" s="96">
        <v>271862</v>
      </c>
      <c r="S134" s="96">
        <v>353684</v>
      </c>
      <c r="T134" s="96">
        <v>298772</v>
      </c>
      <c r="U134" s="96">
        <v>338946</v>
      </c>
      <c r="V134" s="96">
        <v>347048</v>
      </c>
      <c r="W134" s="96">
        <v>373476</v>
      </c>
      <c r="X134" s="96">
        <v>441323</v>
      </c>
      <c r="Y134" s="96">
        <v>292133</v>
      </c>
      <c r="Z134" s="96">
        <v>317338</v>
      </c>
      <c r="AA134" s="96">
        <v>337111</v>
      </c>
      <c r="AB134" s="96">
        <v>320341</v>
      </c>
      <c r="AC134" s="96">
        <v>230538</v>
      </c>
      <c r="AD134" s="96">
        <v>301626</v>
      </c>
      <c r="AE134" s="96">
        <v>323161</v>
      </c>
      <c r="AF134" s="96">
        <v>393568</v>
      </c>
      <c r="AG134" s="96">
        <v>345795</v>
      </c>
      <c r="AH134" s="96">
        <v>392608</v>
      </c>
      <c r="AI134" s="96">
        <v>514642</v>
      </c>
      <c r="AJ134" s="96">
        <v>447467</v>
      </c>
      <c r="AK134" s="96">
        <v>484172</v>
      </c>
      <c r="AL134" s="96">
        <v>537816</v>
      </c>
      <c r="AM134" s="96">
        <v>383571</v>
      </c>
      <c r="AN134" s="96">
        <v>428005</v>
      </c>
      <c r="AO134" s="96">
        <v>271150</v>
      </c>
      <c r="AP134" s="96">
        <v>320742</v>
      </c>
      <c r="AQ134" s="96">
        <v>457935</v>
      </c>
      <c r="AR134" s="96">
        <v>443770</v>
      </c>
      <c r="AS134" s="96">
        <v>385669</v>
      </c>
      <c r="AT134" s="96">
        <v>425061</v>
      </c>
      <c r="AU134" s="96">
        <v>483871</v>
      </c>
      <c r="AV134" s="96">
        <v>403847</v>
      </c>
      <c r="AW134" s="96">
        <v>395658</v>
      </c>
      <c r="AX134" s="96">
        <v>310526</v>
      </c>
      <c r="AY134" s="96">
        <v>382465</v>
      </c>
      <c r="AZ134" s="96">
        <v>281106</v>
      </c>
      <c r="BA134" s="96">
        <v>240936</v>
      </c>
      <c r="BB134" s="96">
        <v>277423</v>
      </c>
      <c r="BC134" s="96">
        <v>391451</v>
      </c>
      <c r="BD134" s="96">
        <v>349562</v>
      </c>
      <c r="BE134" s="96">
        <v>361413</v>
      </c>
      <c r="BF134" s="96">
        <v>406406</v>
      </c>
      <c r="BG134" s="96">
        <v>345746</v>
      </c>
      <c r="BH134" s="96">
        <v>372333</v>
      </c>
      <c r="BI134" s="96">
        <v>329274</v>
      </c>
      <c r="BJ134" s="96">
        <v>342686</v>
      </c>
      <c r="BK134" s="96">
        <v>328851</v>
      </c>
      <c r="BL134" s="96">
        <v>349910</v>
      </c>
      <c r="BM134" s="96">
        <v>244559</v>
      </c>
      <c r="BN134" s="96">
        <v>350377</v>
      </c>
      <c r="BO134" s="96">
        <v>395217</v>
      </c>
      <c r="BP134" s="96">
        <v>324528</v>
      </c>
      <c r="BQ134" s="96">
        <v>339984</v>
      </c>
      <c r="BR134" s="96">
        <v>312518</v>
      </c>
      <c r="BS134" s="96">
        <v>272876</v>
      </c>
      <c r="BT134" s="96">
        <v>217385</v>
      </c>
      <c r="BU134" s="96">
        <v>215656</v>
      </c>
      <c r="BV134" s="96">
        <v>186726</v>
      </c>
      <c r="BW134" s="96">
        <v>269790</v>
      </c>
      <c r="BX134" s="96">
        <v>309226</v>
      </c>
      <c r="BY134" s="96">
        <v>223485</v>
      </c>
      <c r="BZ134" s="96">
        <v>271032</v>
      </c>
    </row>
    <row r="135" spans="1:78" s="96" customFormat="1" hidden="1" x14ac:dyDescent="0.2">
      <c r="A135" s="96" t="s">
        <v>636</v>
      </c>
      <c r="B135" s="96">
        <v>27997</v>
      </c>
      <c r="C135" s="96">
        <v>29133</v>
      </c>
      <c r="D135" s="96">
        <v>29066</v>
      </c>
      <c r="E135" s="96">
        <v>25439</v>
      </c>
      <c r="F135" s="96">
        <v>34235</v>
      </c>
      <c r="G135" s="96">
        <v>32189</v>
      </c>
      <c r="H135" s="96">
        <v>30291</v>
      </c>
      <c r="I135" s="96">
        <v>32197</v>
      </c>
      <c r="J135" s="96">
        <v>31393</v>
      </c>
      <c r="K135" s="96">
        <v>31826</v>
      </c>
      <c r="L135" s="96">
        <v>40136</v>
      </c>
      <c r="M135" s="96">
        <v>35151</v>
      </c>
      <c r="N135" s="96">
        <v>28822</v>
      </c>
      <c r="O135" s="96">
        <v>33801</v>
      </c>
      <c r="P135" s="96">
        <v>34491</v>
      </c>
      <c r="Q135" s="96">
        <v>30440</v>
      </c>
      <c r="R135" s="96">
        <v>34574</v>
      </c>
      <c r="S135" s="96">
        <v>37414</v>
      </c>
      <c r="T135" s="96">
        <v>39167</v>
      </c>
      <c r="U135" s="96">
        <v>33365</v>
      </c>
      <c r="V135" s="96">
        <v>31310</v>
      </c>
      <c r="W135" s="96">
        <v>33079</v>
      </c>
      <c r="X135" s="96">
        <v>37225</v>
      </c>
      <c r="Y135" s="96">
        <v>32730</v>
      </c>
      <c r="Z135" s="96">
        <v>32281</v>
      </c>
      <c r="AA135" s="96">
        <v>31689</v>
      </c>
      <c r="AB135" s="96">
        <v>40845</v>
      </c>
      <c r="AC135" s="96">
        <v>30054</v>
      </c>
      <c r="AD135" s="96">
        <v>37622</v>
      </c>
      <c r="AE135" s="96">
        <v>31090</v>
      </c>
      <c r="AF135" s="96">
        <v>38054</v>
      </c>
      <c r="AG135" s="96">
        <v>36668</v>
      </c>
      <c r="AH135" s="96">
        <v>30190</v>
      </c>
      <c r="AI135" s="96">
        <v>37164</v>
      </c>
      <c r="AJ135" s="96">
        <v>36242</v>
      </c>
      <c r="AK135" s="96">
        <v>31507</v>
      </c>
      <c r="AL135" s="96">
        <v>37982</v>
      </c>
      <c r="AM135" s="96">
        <v>31365</v>
      </c>
      <c r="AN135" s="96">
        <v>38949</v>
      </c>
      <c r="AO135" s="96">
        <v>34847</v>
      </c>
      <c r="AP135" s="96">
        <v>35650</v>
      </c>
      <c r="AQ135" s="96">
        <v>43731</v>
      </c>
      <c r="AR135" s="96">
        <v>44502</v>
      </c>
      <c r="AS135" s="96">
        <v>42939</v>
      </c>
      <c r="AT135" s="96">
        <v>33148</v>
      </c>
      <c r="AU135" s="96">
        <v>39651</v>
      </c>
      <c r="AV135" s="96">
        <v>33860</v>
      </c>
      <c r="AW135" s="96">
        <v>40974</v>
      </c>
      <c r="AX135" s="96">
        <v>32556</v>
      </c>
      <c r="AY135" s="96">
        <v>41841</v>
      </c>
      <c r="AZ135" s="96">
        <v>43858</v>
      </c>
      <c r="BA135" s="96">
        <v>32837</v>
      </c>
      <c r="BB135" s="96">
        <v>41954</v>
      </c>
      <c r="BC135" s="96">
        <v>44625</v>
      </c>
      <c r="BD135" s="96">
        <v>35049</v>
      </c>
      <c r="BE135" s="96">
        <v>33069</v>
      </c>
      <c r="BF135" s="96">
        <v>43666</v>
      </c>
      <c r="BG135" s="96">
        <v>28972</v>
      </c>
      <c r="BH135" s="96">
        <v>32183</v>
      </c>
      <c r="BI135" s="96">
        <v>32449</v>
      </c>
      <c r="BJ135" s="96">
        <v>30082</v>
      </c>
      <c r="BK135" s="96">
        <v>34653</v>
      </c>
      <c r="BL135" s="96">
        <v>35551</v>
      </c>
      <c r="BM135" s="96">
        <v>24862</v>
      </c>
      <c r="BN135" s="96">
        <v>36218</v>
      </c>
      <c r="BO135" s="96">
        <v>33419</v>
      </c>
      <c r="BP135" s="96">
        <v>31680</v>
      </c>
      <c r="BQ135" s="96">
        <v>28689</v>
      </c>
      <c r="BR135" s="96">
        <v>29178</v>
      </c>
      <c r="BS135" s="96">
        <v>27561</v>
      </c>
      <c r="BT135" s="96">
        <v>26110</v>
      </c>
      <c r="BU135" s="96">
        <v>32905</v>
      </c>
      <c r="BV135" s="96">
        <v>27039</v>
      </c>
      <c r="BW135" s="96">
        <v>28390</v>
      </c>
      <c r="BX135" s="96">
        <v>40148</v>
      </c>
      <c r="BY135" s="96">
        <v>34207</v>
      </c>
      <c r="BZ135" s="96">
        <v>38183</v>
      </c>
    </row>
    <row r="136" spans="1:78" s="96" customFormat="1" hidden="1" x14ac:dyDescent="0.2">
      <c r="A136" s="96" t="s">
        <v>637</v>
      </c>
      <c r="B136" s="96">
        <v>52796</v>
      </c>
      <c r="C136" s="96">
        <v>49955</v>
      </c>
      <c r="D136" s="96">
        <v>43743</v>
      </c>
      <c r="E136" s="96">
        <v>37939</v>
      </c>
      <c r="F136" s="96">
        <v>55300</v>
      </c>
      <c r="G136" s="96">
        <v>48191</v>
      </c>
      <c r="H136" s="96">
        <v>49054</v>
      </c>
      <c r="I136" s="96">
        <v>67366</v>
      </c>
      <c r="J136" s="96">
        <v>51679</v>
      </c>
      <c r="K136" s="96">
        <v>45419</v>
      </c>
      <c r="L136" s="96">
        <v>56764</v>
      </c>
      <c r="M136" s="96">
        <v>48044</v>
      </c>
      <c r="N136" s="96">
        <v>52260</v>
      </c>
      <c r="O136" s="96">
        <v>64952</v>
      </c>
      <c r="P136" s="96">
        <v>49579</v>
      </c>
      <c r="Q136" s="96">
        <v>40776</v>
      </c>
      <c r="R136" s="96">
        <v>57830</v>
      </c>
      <c r="S136" s="96">
        <v>52837</v>
      </c>
      <c r="T136" s="96">
        <v>73872</v>
      </c>
      <c r="U136" s="96">
        <v>50132</v>
      </c>
      <c r="V136" s="96">
        <v>36638</v>
      </c>
      <c r="W136" s="96">
        <v>36834</v>
      </c>
      <c r="X136" s="96">
        <v>51711</v>
      </c>
      <c r="Y136" s="96">
        <v>38430</v>
      </c>
      <c r="Z136" s="96">
        <v>44609</v>
      </c>
      <c r="AA136" s="96">
        <v>41856</v>
      </c>
      <c r="AB136" s="96">
        <v>39020</v>
      </c>
      <c r="AC136" s="96">
        <v>36628</v>
      </c>
      <c r="AD136" s="96">
        <v>47092</v>
      </c>
      <c r="AE136" s="96">
        <v>38856</v>
      </c>
      <c r="AF136" s="96">
        <v>37787</v>
      </c>
      <c r="AG136" s="96">
        <v>48055</v>
      </c>
      <c r="AH136" s="96">
        <v>46155</v>
      </c>
      <c r="AI136" s="96">
        <v>49101</v>
      </c>
      <c r="AJ136" s="96">
        <v>56364</v>
      </c>
      <c r="AK136" s="96">
        <v>39235</v>
      </c>
      <c r="AL136" s="96">
        <v>45827</v>
      </c>
      <c r="AM136" s="96">
        <v>47982</v>
      </c>
      <c r="AN136" s="96">
        <v>54523</v>
      </c>
      <c r="AO136" s="96">
        <v>48713</v>
      </c>
      <c r="AP136" s="96">
        <v>53625</v>
      </c>
      <c r="AQ136" s="96">
        <v>51486</v>
      </c>
      <c r="AR136" s="96">
        <v>72122</v>
      </c>
      <c r="AS136" s="96">
        <v>48095</v>
      </c>
      <c r="AT136" s="96">
        <v>68628</v>
      </c>
      <c r="AU136" s="96">
        <v>61878</v>
      </c>
      <c r="AV136" s="96">
        <v>91756</v>
      </c>
      <c r="AW136" s="96">
        <v>70636</v>
      </c>
      <c r="AX136" s="96">
        <v>59532</v>
      </c>
      <c r="AY136" s="96">
        <v>89854</v>
      </c>
      <c r="AZ136" s="96">
        <v>72450</v>
      </c>
      <c r="BA136" s="96">
        <v>73881</v>
      </c>
      <c r="BB136" s="96">
        <v>71404</v>
      </c>
      <c r="BC136" s="96">
        <v>68165</v>
      </c>
      <c r="BD136" s="96">
        <v>53036</v>
      </c>
      <c r="BE136" s="96">
        <v>68185</v>
      </c>
      <c r="BF136" s="96">
        <v>53534</v>
      </c>
      <c r="BG136" s="96">
        <v>47500</v>
      </c>
      <c r="BH136" s="96">
        <v>52118</v>
      </c>
      <c r="BI136" s="96">
        <v>45740</v>
      </c>
      <c r="BJ136" s="96">
        <v>37149</v>
      </c>
      <c r="BK136" s="96">
        <v>51872</v>
      </c>
      <c r="BL136" s="96">
        <v>55105</v>
      </c>
      <c r="BM136" s="96">
        <v>45676</v>
      </c>
      <c r="BN136" s="96">
        <v>60207</v>
      </c>
      <c r="BO136" s="96">
        <v>59795</v>
      </c>
      <c r="BP136" s="96">
        <v>57408</v>
      </c>
      <c r="BQ136" s="96">
        <v>46525</v>
      </c>
      <c r="BR136" s="96">
        <v>42477</v>
      </c>
      <c r="BS136" s="96">
        <v>58448</v>
      </c>
      <c r="BT136" s="96">
        <v>44232</v>
      </c>
      <c r="BU136" s="96">
        <v>42120</v>
      </c>
      <c r="BV136" s="96">
        <v>41926</v>
      </c>
      <c r="BW136" s="96">
        <v>44186</v>
      </c>
      <c r="BX136" s="96">
        <v>41120</v>
      </c>
      <c r="BY136" s="96">
        <v>29311</v>
      </c>
      <c r="BZ136" s="96">
        <v>40788</v>
      </c>
    </row>
    <row r="137" spans="1:78" s="96" customFormat="1" hidden="1" x14ac:dyDescent="0.2">
      <c r="A137" s="96" t="s">
        <v>638</v>
      </c>
      <c r="B137" s="96">
        <v>185138</v>
      </c>
      <c r="C137" s="96">
        <v>93199</v>
      </c>
      <c r="D137" s="96">
        <v>199308</v>
      </c>
      <c r="E137" s="96">
        <v>69716</v>
      </c>
      <c r="F137" s="96">
        <v>93776</v>
      </c>
      <c r="G137" s="96">
        <v>188017</v>
      </c>
      <c r="H137" s="96">
        <v>99302</v>
      </c>
      <c r="I137" s="96">
        <v>285827</v>
      </c>
      <c r="J137" s="96">
        <v>151743</v>
      </c>
      <c r="K137" s="96">
        <v>197895</v>
      </c>
      <c r="L137" s="96">
        <v>171405</v>
      </c>
      <c r="M137" s="96">
        <v>211874</v>
      </c>
      <c r="N137" s="96">
        <v>196319</v>
      </c>
      <c r="O137" s="96">
        <v>177345</v>
      </c>
      <c r="P137" s="96">
        <v>163230</v>
      </c>
      <c r="Q137" s="96">
        <v>144282</v>
      </c>
      <c r="R137" s="96">
        <v>249989</v>
      </c>
      <c r="S137" s="96">
        <v>65836</v>
      </c>
      <c r="T137" s="96">
        <v>26989</v>
      </c>
      <c r="U137" s="96">
        <v>67718</v>
      </c>
      <c r="V137" s="96">
        <v>103986</v>
      </c>
      <c r="W137" s="96">
        <v>105473</v>
      </c>
      <c r="X137" s="96">
        <v>130378</v>
      </c>
      <c r="Y137" s="96">
        <v>185137</v>
      </c>
      <c r="Z137" s="96">
        <v>188843</v>
      </c>
      <c r="AA137" s="96">
        <v>181200</v>
      </c>
      <c r="AB137" s="96">
        <v>188585</v>
      </c>
      <c r="AC137" s="96">
        <v>217717</v>
      </c>
      <c r="AD137" s="96">
        <v>213410</v>
      </c>
      <c r="AE137" s="96">
        <v>205810</v>
      </c>
      <c r="AF137" s="96">
        <v>150868</v>
      </c>
      <c r="AG137" s="96">
        <v>171186</v>
      </c>
      <c r="AH137" s="96">
        <v>72624</v>
      </c>
      <c r="AI137" s="96">
        <v>69870</v>
      </c>
      <c r="AJ137" s="96">
        <v>142927</v>
      </c>
      <c r="AK137" s="96">
        <v>193581</v>
      </c>
      <c r="AL137" s="96">
        <v>204358</v>
      </c>
      <c r="AM137" s="96">
        <v>240857</v>
      </c>
      <c r="AN137" s="96">
        <v>196490</v>
      </c>
      <c r="AO137" s="96">
        <v>205143</v>
      </c>
      <c r="AP137" s="96">
        <v>185975</v>
      </c>
      <c r="AQ137" s="96">
        <v>107986</v>
      </c>
      <c r="AR137" s="96">
        <v>190229</v>
      </c>
      <c r="AS137" s="96">
        <v>189531</v>
      </c>
      <c r="AT137" s="96">
        <v>248372</v>
      </c>
      <c r="AU137" s="96">
        <v>141279</v>
      </c>
      <c r="AV137" s="96">
        <v>56685</v>
      </c>
      <c r="AW137" s="96">
        <v>211477</v>
      </c>
      <c r="AX137" s="96">
        <v>180129</v>
      </c>
      <c r="AY137" s="96">
        <v>186703</v>
      </c>
      <c r="AZ137" s="96">
        <v>144041</v>
      </c>
      <c r="BA137" s="96">
        <v>158300</v>
      </c>
      <c r="BB137" s="96">
        <v>199544</v>
      </c>
      <c r="BC137" s="96">
        <v>174332</v>
      </c>
      <c r="BD137" s="96">
        <v>197299</v>
      </c>
      <c r="BE137" s="96">
        <v>168336</v>
      </c>
      <c r="BF137" s="96">
        <v>140568</v>
      </c>
      <c r="BG137" s="96">
        <v>121032</v>
      </c>
      <c r="BH137" s="96">
        <v>27894</v>
      </c>
      <c r="BI137" s="96">
        <v>190456</v>
      </c>
      <c r="BJ137" s="96">
        <v>57429</v>
      </c>
      <c r="BK137" s="96">
        <v>123008</v>
      </c>
      <c r="BL137" s="96">
        <v>118581</v>
      </c>
      <c r="BM137" s="96">
        <v>68902</v>
      </c>
      <c r="BN137" s="96">
        <v>118047</v>
      </c>
      <c r="BO137" s="96">
        <v>80368</v>
      </c>
      <c r="BP137" s="96">
        <v>94771</v>
      </c>
      <c r="BQ137" s="96">
        <v>110958</v>
      </c>
      <c r="BR137" s="96">
        <v>95012</v>
      </c>
      <c r="BS137" s="96">
        <v>69154</v>
      </c>
      <c r="BT137" s="96">
        <v>62379</v>
      </c>
      <c r="BU137" s="96">
        <v>41867</v>
      </c>
      <c r="BV137" s="96">
        <v>62599</v>
      </c>
      <c r="BW137" s="96">
        <v>65044</v>
      </c>
      <c r="BX137" s="96">
        <v>59691</v>
      </c>
      <c r="BY137" s="96">
        <v>60796</v>
      </c>
      <c r="BZ137" s="96">
        <v>49258</v>
      </c>
    </row>
    <row r="138" spans="1:78" s="96" customFormat="1" hidden="1" x14ac:dyDescent="0.2"/>
    <row r="139" spans="1:78" s="96" customFormat="1" hidden="1" x14ac:dyDescent="0.2">
      <c r="B139" s="106">
        <v>2026</v>
      </c>
      <c r="C139" s="106">
        <v>2025</v>
      </c>
      <c r="D139" s="106">
        <v>2024</v>
      </c>
      <c r="E139" s="106">
        <v>2023</v>
      </c>
      <c r="F139" s="106">
        <v>2022</v>
      </c>
      <c r="G139" s="106">
        <v>2021</v>
      </c>
      <c r="H139" s="106">
        <v>2020</v>
      </c>
    </row>
    <row r="140" spans="1:78" s="96" customFormat="1" hidden="1" x14ac:dyDescent="0.2">
      <c r="A140" s="96" t="s">
        <v>630</v>
      </c>
      <c r="B140" s="96">
        <f>SUM(B129:F129)</f>
        <v>340721718</v>
      </c>
      <c r="C140" s="96">
        <f>SUM(G129:R129)</f>
        <v>658265016</v>
      </c>
      <c r="D140" s="96">
        <f>SUM(S129:AD129)</f>
        <v>611359441</v>
      </c>
      <c r="E140" s="96">
        <f>SUM(AE129:AP129)</f>
        <v>567319062</v>
      </c>
      <c r="F140" s="96">
        <f>SUM(AQ129:BB129)</f>
        <v>655435885</v>
      </c>
      <c r="G140" s="96">
        <f>SUM(BC129:BN129)</f>
        <v>545881937</v>
      </c>
      <c r="H140" s="96">
        <f>SUM(BO129:BZ129)</f>
        <v>453467443</v>
      </c>
    </row>
    <row r="141" spans="1:78" s="96" customFormat="1" hidden="1" x14ac:dyDescent="0.2">
      <c r="A141" s="96" t="s">
        <v>631</v>
      </c>
      <c r="B141" s="96">
        <f t="shared" ref="B141:B148" si="3">SUM(B130:F130)</f>
        <v>946709</v>
      </c>
      <c r="C141" s="96">
        <f t="shared" ref="C141:C148" si="4">SUM(G130:R130)</f>
        <v>2076731</v>
      </c>
      <c r="D141" s="96">
        <f t="shared" ref="D141:D148" si="5">SUM(S130:AD130)</f>
        <v>2024227</v>
      </c>
      <c r="E141" s="96">
        <f t="shared" ref="E141:E148" si="6">SUM(AE130:AP130)</f>
        <v>1821044</v>
      </c>
      <c r="F141" s="96">
        <f t="shared" ref="F141:F148" si="7">SUM(AQ130:BB130)</f>
        <v>1974782</v>
      </c>
      <c r="G141" s="96">
        <f t="shared" ref="G141:G148" si="8">SUM(BC130:BN130)</f>
        <v>1658704</v>
      </c>
      <c r="H141" s="96">
        <f t="shared" ref="H141:H148" si="9">SUM(BO130:BZ130)</f>
        <v>1608891</v>
      </c>
    </row>
    <row r="142" spans="1:78" s="96" customFormat="1" hidden="1" x14ac:dyDescent="0.2">
      <c r="A142" s="96" t="s">
        <v>632</v>
      </c>
      <c r="B142" s="96">
        <f t="shared" si="3"/>
        <v>629124</v>
      </c>
      <c r="C142" s="96">
        <f t="shared" si="4"/>
        <v>1568226</v>
      </c>
      <c r="D142" s="96">
        <f t="shared" si="5"/>
        <v>1517991</v>
      </c>
      <c r="E142" s="96">
        <f t="shared" si="6"/>
        <v>1570094</v>
      </c>
      <c r="F142" s="96">
        <f t="shared" si="7"/>
        <v>1711804</v>
      </c>
      <c r="G142" s="96">
        <f t="shared" si="8"/>
        <v>1452837</v>
      </c>
      <c r="H142" s="96">
        <f t="shared" si="9"/>
        <v>1312526</v>
      </c>
    </row>
    <row r="143" spans="1:78" s="96" customFormat="1" hidden="1" x14ac:dyDescent="0.2">
      <c r="A143" s="96" t="s">
        <v>633</v>
      </c>
      <c r="B143" s="96">
        <f t="shared" si="3"/>
        <v>1039507</v>
      </c>
      <c r="C143" s="96">
        <f t="shared" si="4"/>
        <v>2479372</v>
      </c>
      <c r="D143" s="96">
        <f t="shared" si="5"/>
        <v>2453046</v>
      </c>
      <c r="E143" s="96">
        <f t="shared" si="6"/>
        <v>2367589</v>
      </c>
      <c r="F143" s="96">
        <f t="shared" si="7"/>
        <v>2485757</v>
      </c>
      <c r="G143" s="96">
        <f t="shared" si="8"/>
        <v>2438582</v>
      </c>
      <c r="H143" s="96">
        <f>SUM(BO132:BZ132)</f>
        <v>2418436</v>
      </c>
    </row>
    <row r="144" spans="1:78" s="96" customFormat="1" hidden="1" x14ac:dyDescent="0.2">
      <c r="A144" s="96" t="s">
        <v>634</v>
      </c>
      <c r="B144" s="96">
        <f t="shared" si="3"/>
        <v>869955</v>
      </c>
      <c r="C144" s="96">
        <f t="shared" si="4"/>
        <v>2426681</v>
      </c>
      <c r="D144" s="96">
        <f t="shared" si="5"/>
        <v>2084687</v>
      </c>
      <c r="E144" s="96">
        <f t="shared" si="6"/>
        <v>1427850</v>
      </c>
      <c r="F144" s="96">
        <f t="shared" si="7"/>
        <v>1453332</v>
      </c>
      <c r="G144" s="96">
        <f t="shared" si="8"/>
        <v>1283096</v>
      </c>
      <c r="H144" s="96">
        <f t="shared" si="9"/>
        <v>1178796</v>
      </c>
    </row>
    <row r="145" spans="1:79" s="96" customFormat="1" hidden="1" x14ac:dyDescent="0.2">
      <c r="A145" s="96" t="s">
        <v>635</v>
      </c>
      <c r="B145" s="96">
        <f t="shared" si="3"/>
        <v>1466266</v>
      </c>
      <c r="C145" s="96">
        <f t="shared" si="4"/>
        <v>3666630</v>
      </c>
      <c r="D145" s="96">
        <f t="shared" si="5"/>
        <v>3952336</v>
      </c>
      <c r="E145" s="96">
        <f t="shared" si="6"/>
        <v>4842697</v>
      </c>
      <c r="F145" s="96">
        <f t="shared" si="7"/>
        <v>4488267</v>
      </c>
      <c r="G145" s="96">
        <f t="shared" si="8"/>
        <v>4172568</v>
      </c>
      <c r="H145" s="96">
        <f t="shared" si="9"/>
        <v>3338423</v>
      </c>
    </row>
    <row r="146" spans="1:79" s="96" customFormat="1" hidden="1" x14ac:dyDescent="0.2">
      <c r="A146" s="96" t="s">
        <v>636</v>
      </c>
      <c r="B146" s="96">
        <f t="shared" si="3"/>
        <v>145870</v>
      </c>
      <c r="C146" s="96">
        <f t="shared" si="4"/>
        <v>395311</v>
      </c>
      <c r="D146" s="96">
        <f t="shared" si="5"/>
        <v>416781</v>
      </c>
      <c r="E146" s="96">
        <f t="shared" si="6"/>
        <v>419708</v>
      </c>
      <c r="F146" s="96">
        <f t="shared" si="7"/>
        <v>471851</v>
      </c>
      <c r="G146" s="96">
        <f t="shared" si="8"/>
        <v>411379</v>
      </c>
      <c r="H146" s="96">
        <f t="shared" si="9"/>
        <v>377509</v>
      </c>
    </row>
    <row r="147" spans="1:79" s="96" customFormat="1" hidden="1" x14ac:dyDescent="0.2">
      <c r="A147" s="96" t="s">
        <v>637</v>
      </c>
      <c r="B147" s="96">
        <f t="shared" si="3"/>
        <v>239733</v>
      </c>
      <c r="C147" s="96">
        <f t="shared" si="4"/>
        <v>631914</v>
      </c>
      <c r="D147" s="96">
        <f t="shared" si="5"/>
        <v>549659</v>
      </c>
      <c r="E147" s="96">
        <f t="shared" si="6"/>
        <v>566223</v>
      </c>
      <c r="F147" s="96">
        <f t="shared" si="7"/>
        <v>831722</v>
      </c>
      <c r="G147" s="96">
        <f t="shared" si="8"/>
        <v>638287</v>
      </c>
      <c r="H147" s="96">
        <f t="shared" si="9"/>
        <v>548336</v>
      </c>
    </row>
    <row r="148" spans="1:79" s="96" customFormat="1" hidden="1" x14ac:dyDescent="0.2">
      <c r="A148" s="96" t="s">
        <v>638</v>
      </c>
      <c r="B148" s="96">
        <f t="shared" si="3"/>
        <v>641137</v>
      </c>
      <c r="C148" s="96">
        <f t="shared" si="4"/>
        <v>2237228</v>
      </c>
      <c r="D148" s="96">
        <f t="shared" si="5"/>
        <v>1675272</v>
      </c>
      <c r="E148" s="96">
        <f t="shared" si="6"/>
        <v>2039689</v>
      </c>
      <c r="F148" s="96">
        <f t="shared" si="7"/>
        <v>2014276</v>
      </c>
      <c r="G148" s="96">
        <f t="shared" si="8"/>
        <v>1505884</v>
      </c>
      <c r="H148" s="96">
        <f t="shared" si="9"/>
        <v>851897</v>
      </c>
    </row>
    <row r="149" spans="1:79" s="96" customFormat="1" hidden="1" x14ac:dyDescent="0.2"/>
    <row r="150" spans="1:79" hidden="1" x14ac:dyDescent="0.2"/>
    <row r="151" spans="1:79" hidden="1" x14ac:dyDescent="0.2">
      <c r="A151" s="32" t="s">
        <v>727</v>
      </c>
    </row>
    <row r="152" spans="1:79" hidden="1" x14ac:dyDescent="0.2">
      <c r="A152" s="96" t="s">
        <v>732</v>
      </c>
      <c r="B152" s="96" t="s">
        <v>640</v>
      </c>
      <c r="C152" s="96" t="s">
        <v>641</v>
      </c>
      <c r="D152" s="96" t="s">
        <v>642</v>
      </c>
      <c r="E152" s="96" t="s">
        <v>643</v>
      </c>
      <c r="F152" s="96" t="s">
        <v>644</v>
      </c>
      <c r="G152" s="96" t="s">
        <v>645</v>
      </c>
      <c r="H152" s="96" t="s">
        <v>646</v>
      </c>
      <c r="I152" s="96" t="s">
        <v>647</v>
      </c>
      <c r="J152" s="96" t="s">
        <v>648</v>
      </c>
      <c r="K152" s="96" t="s">
        <v>649</v>
      </c>
      <c r="L152" s="96" t="s">
        <v>650</v>
      </c>
      <c r="M152" s="96" t="s">
        <v>651</v>
      </c>
      <c r="N152" s="96" t="s">
        <v>652</v>
      </c>
      <c r="O152" s="96" t="s">
        <v>653</v>
      </c>
      <c r="P152" s="96" t="s">
        <v>654</v>
      </c>
      <c r="Q152" s="96" t="s">
        <v>655</v>
      </c>
      <c r="R152" s="96" t="s">
        <v>656</v>
      </c>
      <c r="S152" s="96" t="s">
        <v>657</v>
      </c>
      <c r="T152" s="96" t="s">
        <v>658</v>
      </c>
      <c r="U152" s="96" t="s">
        <v>659</v>
      </c>
      <c r="V152" s="96" t="s">
        <v>660</v>
      </c>
      <c r="W152" s="96" t="s">
        <v>661</v>
      </c>
      <c r="X152" s="96" t="s">
        <v>662</v>
      </c>
      <c r="Y152" s="96" t="s">
        <v>663</v>
      </c>
      <c r="Z152" s="96" t="s">
        <v>664</v>
      </c>
      <c r="AA152" s="96" t="s">
        <v>665</v>
      </c>
      <c r="AB152" s="96" t="s">
        <v>666</v>
      </c>
      <c r="AC152" s="96" t="s">
        <v>667</v>
      </c>
      <c r="AD152" s="96" t="s">
        <v>668</v>
      </c>
      <c r="AE152" s="96" t="s">
        <v>669</v>
      </c>
      <c r="AF152" s="96" t="s">
        <v>670</v>
      </c>
      <c r="AG152" s="96" t="s">
        <v>671</v>
      </c>
      <c r="AH152" s="96" t="s">
        <v>672</v>
      </c>
      <c r="AI152" s="96" t="s">
        <v>673</v>
      </c>
      <c r="AJ152" s="96" t="s">
        <v>674</v>
      </c>
      <c r="AK152" s="96" t="s">
        <v>675</v>
      </c>
      <c r="AL152" s="96" t="s">
        <v>676</v>
      </c>
      <c r="AM152" s="96" t="s">
        <v>677</v>
      </c>
      <c r="AN152" s="96" t="s">
        <v>678</v>
      </c>
      <c r="AO152" s="96" t="s">
        <v>679</v>
      </c>
      <c r="AP152" s="96" t="s">
        <v>680</v>
      </c>
      <c r="AQ152" s="96" t="s">
        <v>681</v>
      </c>
      <c r="AR152" s="96" t="s">
        <v>682</v>
      </c>
      <c r="AS152" s="96" t="s">
        <v>683</v>
      </c>
      <c r="AT152" s="96" t="s">
        <v>684</v>
      </c>
      <c r="AU152" s="96" t="s">
        <v>685</v>
      </c>
      <c r="AV152" s="96" t="s">
        <v>686</v>
      </c>
      <c r="AW152" s="96" t="s">
        <v>687</v>
      </c>
      <c r="AX152" s="96" t="s">
        <v>688</v>
      </c>
      <c r="AY152" s="96" t="s">
        <v>689</v>
      </c>
      <c r="AZ152" s="96" t="s">
        <v>690</v>
      </c>
      <c r="BA152" s="96" t="s">
        <v>691</v>
      </c>
      <c r="BB152" s="96" t="s">
        <v>692</v>
      </c>
      <c r="BC152" s="96" t="s">
        <v>693</v>
      </c>
      <c r="BD152" s="96" t="s">
        <v>694</v>
      </c>
      <c r="BE152" s="96" t="s">
        <v>695</v>
      </c>
      <c r="BF152" s="96" t="s">
        <v>696</v>
      </c>
      <c r="BG152" s="96" t="s">
        <v>697</v>
      </c>
      <c r="BH152" s="96" t="s">
        <v>698</v>
      </c>
      <c r="BI152" s="96" t="s">
        <v>699</v>
      </c>
      <c r="BJ152" s="96" t="s">
        <v>700</v>
      </c>
      <c r="BK152" s="96" t="s">
        <v>701</v>
      </c>
      <c r="BL152" s="96" t="s">
        <v>702</v>
      </c>
      <c r="BM152" s="96" t="s">
        <v>703</v>
      </c>
      <c r="BN152" s="96" t="s">
        <v>704</v>
      </c>
      <c r="BO152" s="96" t="s">
        <v>705</v>
      </c>
      <c r="BP152" s="96" t="s">
        <v>706</v>
      </c>
      <c r="BQ152" s="96" t="s">
        <v>707</v>
      </c>
      <c r="BR152" s="96" t="s">
        <v>708</v>
      </c>
      <c r="BS152" s="96" t="s">
        <v>709</v>
      </c>
      <c r="BT152" s="96" t="s">
        <v>710</v>
      </c>
      <c r="BU152" s="96" t="s">
        <v>711</v>
      </c>
      <c r="BV152" s="96" t="s">
        <v>712</v>
      </c>
      <c r="BW152" s="96" t="s">
        <v>713</v>
      </c>
      <c r="BX152" s="96" t="s">
        <v>714</v>
      </c>
      <c r="BY152" s="96" t="s">
        <v>715</v>
      </c>
      <c r="BZ152" s="96" t="s">
        <v>716</v>
      </c>
      <c r="CA152" s="96" t="s">
        <v>717</v>
      </c>
    </row>
    <row r="153" spans="1:79" hidden="1" x14ac:dyDescent="0.2">
      <c r="A153" s="96" t="s">
        <v>718</v>
      </c>
      <c r="B153" s="96">
        <v>28167770</v>
      </c>
      <c r="C153" s="96">
        <v>28452017</v>
      </c>
      <c r="D153" s="96">
        <v>31274396</v>
      </c>
      <c r="E153" s="96">
        <v>26263636</v>
      </c>
      <c r="F153" s="96">
        <v>21697756</v>
      </c>
      <c r="G153" s="96">
        <v>25001740</v>
      </c>
      <c r="H153" s="96">
        <v>24641333</v>
      </c>
      <c r="I153" s="96">
        <v>24438998</v>
      </c>
      <c r="J153" s="96">
        <v>26048777</v>
      </c>
      <c r="K153" s="96">
        <v>23419197</v>
      </c>
      <c r="L153" s="96">
        <v>21449634</v>
      </c>
      <c r="M153" s="96">
        <v>24243304</v>
      </c>
      <c r="N153" s="96">
        <v>23174837</v>
      </c>
      <c r="O153" s="96">
        <v>21987957</v>
      </c>
      <c r="P153" s="96">
        <v>24245743</v>
      </c>
      <c r="Q153" s="96">
        <v>23584832</v>
      </c>
      <c r="R153" s="96">
        <v>22695594</v>
      </c>
      <c r="S153" s="96">
        <v>24738596</v>
      </c>
      <c r="T153" s="96">
        <v>23684686</v>
      </c>
      <c r="U153" s="96">
        <v>23438698</v>
      </c>
      <c r="V153" s="96">
        <v>22147837</v>
      </c>
      <c r="W153" s="96">
        <v>21966728</v>
      </c>
      <c r="X153" s="96">
        <v>23984045</v>
      </c>
      <c r="Y153" s="96">
        <v>26421304</v>
      </c>
      <c r="Z153" s="96">
        <v>22945653</v>
      </c>
      <c r="AA153" s="96">
        <v>25555265</v>
      </c>
      <c r="AB153" s="96">
        <v>24062856</v>
      </c>
      <c r="AC153" s="96">
        <v>24093876</v>
      </c>
      <c r="AD153" s="96">
        <v>23159924</v>
      </c>
      <c r="AE153" s="96">
        <v>25136833</v>
      </c>
      <c r="AF153" s="96">
        <v>22546049</v>
      </c>
      <c r="AG153" s="96">
        <v>24833932</v>
      </c>
      <c r="AH153" s="96">
        <v>26297710</v>
      </c>
      <c r="AI153" s="96">
        <v>23093295</v>
      </c>
      <c r="AJ153" s="96">
        <v>23134727</v>
      </c>
      <c r="AK153" s="96">
        <v>22445521</v>
      </c>
      <c r="AL153" s="96">
        <v>23470044</v>
      </c>
      <c r="AM153" s="96">
        <v>23026645</v>
      </c>
      <c r="AN153" s="96">
        <v>24014980</v>
      </c>
      <c r="AO153" s="96">
        <v>27554869</v>
      </c>
      <c r="AP153" s="96">
        <v>22273783</v>
      </c>
      <c r="AQ153" s="96">
        <v>22361408</v>
      </c>
      <c r="AR153" s="96">
        <v>24423567</v>
      </c>
      <c r="AS153" s="96">
        <v>24976392</v>
      </c>
      <c r="AT153" s="96">
        <v>25545994</v>
      </c>
      <c r="AU153" s="96">
        <v>27479097</v>
      </c>
      <c r="AV153" s="96">
        <v>30220495</v>
      </c>
      <c r="AW153" s="96">
        <v>30998082</v>
      </c>
      <c r="AX153" s="96">
        <v>30072121</v>
      </c>
      <c r="AY153" s="96">
        <v>29142308</v>
      </c>
      <c r="AZ153" s="96">
        <v>28376085</v>
      </c>
      <c r="BA153" s="96">
        <v>29495603</v>
      </c>
      <c r="BB153" s="96">
        <v>24202253</v>
      </c>
      <c r="BC153" s="96">
        <v>24736832</v>
      </c>
      <c r="BD153" s="96">
        <v>26075059</v>
      </c>
      <c r="BE153" s="96">
        <v>26480888</v>
      </c>
      <c r="BF153" s="96">
        <v>23992950</v>
      </c>
      <c r="BG153" s="96">
        <v>22928584</v>
      </c>
      <c r="BH153" s="96">
        <v>23119282</v>
      </c>
      <c r="BI153" s="96">
        <v>23284627</v>
      </c>
      <c r="BJ153" s="96">
        <v>23737832</v>
      </c>
      <c r="BK153" s="96">
        <v>21616301</v>
      </c>
      <c r="BL153" s="96">
        <v>22801896</v>
      </c>
      <c r="BM153" s="96">
        <v>25218365</v>
      </c>
      <c r="BN153" s="96">
        <v>19517396</v>
      </c>
      <c r="BO153" s="96">
        <v>20202185</v>
      </c>
      <c r="BP153" s="96">
        <v>20137950</v>
      </c>
      <c r="BQ153" s="96">
        <v>18017254</v>
      </c>
      <c r="BR153" s="96">
        <v>18651552</v>
      </c>
      <c r="BS153" s="96">
        <v>18815664</v>
      </c>
      <c r="BT153" s="96">
        <v>20063181</v>
      </c>
      <c r="BU153" s="96">
        <v>19502853</v>
      </c>
      <c r="BV153" s="96">
        <v>18021057</v>
      </c>
      <c r="BW153" s="96">
        <v>16915474</v>
      </c>
      <c r="BX153" s="96">
        <v>19246404</v>
      </c>
      <c r="BY153" s="96">
        <v>22373492</v>
      </c>
      <c r="BZ153" s="96">
        <v>21069473</v>
      </c>
      <c r="CA153" s="96">
        <v>21635015</v>
      </c>
    </row>
    <row r="154" spans="1:79" hidden="1" x14ac:dyDescent="0.2">
      <c r="A154" s="96" t="s">
        <v>719</v>
      </c>
      <c r="B154" s="96">
        <v>6218</v>
      </c>
      <c r="C154" s="96">
        <v>7091</v>
      </c>
      <c r="D154" s="96">
        <v>7295</v>
      </c>
      <c r="E154" s="96">
        <v>8099</v>
      </c>
      <c r="F154" s="96">
        <v>6899</v>
      </c>
      <c r="G154" s="96">
        <v>10169</v>
      </c>
      <c r="H154" s="96">
        <v>8550</v>
      </c>
      <c r="I154" s="96">
        <v>8441</v>
      </c>
      <c r="J154" s="96">
        <v>10725</v>
      </c>
      <c r="K154" s="96">
        <v>7816</v>
      </c>
      <c r="L154" s="96">
        <v>6460</v>
      </c>
      <c r="M154" s="96">
        <v>7702</v>
      </c>
      <c r="N154" s="96">
        <v>8378</v>
      </c>
      <c r="O154" s="96">
        <v>11666</v>
      </c>
      <c r="P154" s="96">
        <v>11582</v>
      </c>
      <c r="Q154" s="96">
        <v>12361</v>
      </c>
      <c r="R154" s="96">
        <v>12216</v>
      </c>
      <c r="S154" s="96">
        <v>9885</v>
      </c>
      <c r="T154" s="96">
        <v>14627</v>
      </c>
      <c r="U154" s="96">
        <v>15496</v>
      </c>
      <c r="V154" s="96">
        <v>14721</v>
      </c>
      <c r="W154" s="96">
        <v>13566</v>
      </c>
      <c r="X154" s="96">
        <v>14295</v>
      </c>
      <c r="Y154" s="96">
        <v>14580</v>
      </c>
      <c r="Z154" s="96">
        <v>13393</v>
      </c>
      <c r="AA154" s="96">
        <v>15840</v>
      </c>
      <c r="AB154" s="96">
        <v>13444</v>
      </c>
      <c r="AC154" s="96">
        <v>14188</v>
      </c>
      <c r="AD154" s="96">
        <v>11592</v>
      </c>
      <c r="AE154" s="96">
        <v>11638</v>
      </c>
      <c r="AF154" s="96">
        <v>11676</v>
      </c>
      <c r="AG154" s="96">
        <v>16750</v>
      </c>
      <c r="AH154" s="96">
        <v>18872</v>
      </c>
      <c r="AI154" s="96">
        <v>17173</v>
      </c>
      <c r="AJ154" s="96">
        <v>17274</v>
      </c>
      <c r="AK154" s="96">
        <v>17557</v>
      </c>
      <c r="AL154" s="96">
        <v>14255</v>
      </c>
      <c r="AM154" s="96">
        <v>21366</v>
      </c>
      <c r="AN154" s="96">
        <v>17372</v>
      </c>
      <c r="AO154" s="96">
        <v>19806</v>
      </c>
      <c r="AP154" s="96">
        <v>17804</v>
      </c>
      <c r="AQ154" s="96">
        <v>11664</v>
      </c>
      <c r="AR154" s="96">
        <v>18635</v>
      </c>
      <c r="AS154" s="96">
        <v>21675</v>
      </c>
      <c r="AT154" s="96">
        <v>20492</v>
      </c>
      <c r="AU154" s="96">
        <v>18434</v>
      </c>
      <c r="AV154" s="96">
        <v>18206</v>
      </c>
      <c r="AW154" s="96">
        <v>17873</v>
      </c>
      <c r="AX154" s="96">
        <v>18535</v>
      </c>
      <c r="AY154" s="96">
        <v>17394</v>
      </c>
      <c r="AZ154" s="96">
        <v>22491</v>
      </c>
      <c r="BA154" s="96">
        <v>16728</v>
      </c>
      <c r="BB154" s="96">
        <v>15220</v>
      </c>
      <c r="BC154" s="96">
        <v>17764</v>
      </c>
      <c r="BD154" s="96">
        <v>25563</v>
      </c>
      <c r="BE154" s="96">
        <v>17711</v>
      </c>
      <c r="BF154" s="96">
        <v>18359</v>
      </c>
      <c r="BG154" s="96">
        <v>18915</v>
      </c>
      <c r="BH154" s="96">
        <v>21872</v>
      </c>
      <c r="BI154" s="96">
        <v>19940</v>
      </c>
      <c r="BJ154" s="96">
        <v>16464</v>
      </c>
      <c r="BK154" s="96">
        <v>21313</v>
      </c>
      <c r="BL154" s="96">
        <v>18499</v>
      </c>
      <c r="BM154" s="96">
        <v>17299</v>
      </c>
      <c r="BN154" s="96">
        <v>13489</v>
      </c>
      <c r="BO154" s="96">
        <v>14191</v>
      </c>
      <c r="BP154" s="96">
        <v>17149</v>
      </c>
      <c r="BQ154" s="96">
        <v>14899</v>
      </c>
      <c r="BR154" s="96">
        <v>15974</v>
      </c>
      <c r="BS154" s="96">
        <v>18148</v>
      </c>
      <c r="BT154" s="96">
        <v>15214</v>
      </c>
      <c r="BU154" s="96">
        <v>19190</v>
      </c>
      <c r="BV154" s="96">
        <v>15442</v>
      </c>
      <c r="BW154" s="96">
        <v>14218</v>
      </c>
      <c r="BX154" s="96">
        <v>11350</v>
      </c>
      <c r="BY154" s="96">
        <v>13393</v>
      </c>
      <c r="BZ154" s="96">
        <v>15769</v>
      </c>
      <c r="CA154" s="96">
        <v>16296</v>
      </c>
    </row>
    <row r="155" spans="1:79" hidden="1" x14ac:dyDescent="0.2">
      <c r="A155" s="96" t="s">
        <v>720</v>
      </c>
      <c r="B155" s="96">
        <v>23789</v>
      </c>
      <c r="C155" s="96">
        <v>22601</v>
      </c>
      <c r="D155" s="96">
        <v>20660</v>
      </c>
      <c r="E155" s="96">
        <v>23051</v>
      </c>
      <c r="F155" s="96">
        <v>21230</v>
      </c>
      <c r="G155" s="96">
        <v>26905</v>
      </c>
      <c r="H155" s="96">
        <v>28815</v>
      </c>
      <c r="I155" s="96">
        <v>24776</v>
      </c>
      <c r="J155" s="96">
        <v>24644</v>
      </c>
      <c r="K155" s="96">
        <v>19228</v>
      </c>
      <c r="L155" s="96">
        <v>19184</v>
      </c>
      <c r="M155" s="96">
        <v>22154</v>
      </c>
      <c r="N155" s="96">
        <v>19957</v>
      </c>
      <c r="O155" s="96">
        <v>21469</v>
      </c>
      <c r="P155" s="96">
        <v>26532</v>
      </c>
      <c r="Q155" s="96">
        <v>25097</v>
      </c>
      <c r="R155" s="96">
        <v>23391</v>
      </c>
      <c r="S155" s="96">
        <v>25357</v>
      </c>
      <c r="T155" s="96">
        <v>29354</v>
      </c>
      <c r="U155" s="96">
        <v>27217</v>
      </c>
      <c r="V155" s="96">
        <v>28189</v>
      </c>
      <c r="W155" s="96">
        <v>24316</v>
      </c>
      <c r="X155" s="96">
        <v>26966</v>
      </c>
      <c r="Y155" s="96">
        <v>25541</v>
      </c>
      <c r="Z155" s="96">
        <v>27740</v>
      </c>
      <c r="AA155" s="96">
        <v>28494</v>
      </c>
      <c r="AB155" s="96">
        <v>24985</v>
      </c>
      <c r="AC155" s="96">
        <v>25965</v>
      </c>
      <c r="AD155" s="96">
        <v>22935</v>
      </c>
      <c r="AE155" s="96">
        <v>26935</v>
      </c>
      <c r="AF155" s="96">
        <v>26565</v>
      </c>
      <c r="AG155" s="96">
        <v>28039</v>
      </c>
      <c r="AH155" s="96">
        <v>25090</v>
      </c>
      <c r="AI155" s="96">
        <v>25029</v>
      </c>
      <c r="AJ155" s="96">
        <v>26484</v>
      </c>
      <c r="AK155" s="96">
        <v>22529</v>
      </c>
      <c r="AL155" s="96">
        <v>24985</v>
      </c>
      <c r="AM155" s="96">
        <v>28422</v>
      </c>
      <c r="AN155" s="96">
        <v>22511</v>
      </c>
      <c r="AO155" s="96">
        <v>24661</v>
      </c>
      <c r="AP155" s="96">
        <v>22608</v>
      </c>
      <c r="AQ155" s="96">
        <v>18969</v>
      </c>
      <c r="AR155" s="96">
        <v>26519</v>
      </c>
      <c r="AS155" s="96">
        <v>23123</v>
      </c>
      <c r="AT155" s="96">
        <v>26298</v>
      </c>
      <c r="AU155" s="96">
        <v>26216</v>
      </c>
      <c r="AV155" s="96">
        <v>25014</v>
      </c>
      <c r="AW155" s="96">
        <v>23388</v>
      </c>
      <c r="AX155" s="96">
        <v>26360</v>
      </c>
      <c r="AY155" s="96">
        <v>20845</v>
      </c>
      <c r="AZ155" s="96">
        <v>23972</v>
      </c>
      <c r="BA155" s="96">
        <v>24926</v>
      </c>
      <c r="BB155" s="96">
        <v>15623</v>
      </c>
      <c r="BC155" s="96">
        <v>20858</v>
      </c>
      <c r="BD155" s="96">
        <v>26515</v>
      </c>
      <c r="BE155" s="96">
        <v>25496</v>
      </c>
      <c r="BF155" s="96">
        <v>23346</v>
      </c>
      <c r="BG155" s="96">
        <v>23942</v>
      </c>
      <c r="BH155" s="96">
        <v>21812</v>
      </c>
      <c r="BI155" s="96">
        <v>20217</v>
      </c>
      <c r="BJ155" s="96">
        <v>21132</v>
      </c>
      <c r="BK155" s="96">
        <v>18467</v>
      </c>
      <c r="BL155" s="96">
        <v>22638</v>
      </c>
      <c r="BM155" s="96">
        <v>24371</v>
      </c>
      <c r="BN155" s="96">
        <v>19557</v>
      </c>
      <c r="BO155" s="96">
        <v>18912</v>
      </c>
      <c r="BP155" s="96">
        <v>24798</v>
      </c>
      <c r="BQ155" s="96">
        <v>20150</v>
      </c>
      <c r="BR155" s="96">
        <v>21317</v>
      </c>
      <c r="BS155" s="96">
        <v>23210</v>
      </c>
      <c r="BT155" s="96">
        <v>21378</v>
      </c>
      <c r="BU155" s="96">
        <v>23341</v>
      </c>
      <c r="BV155" s="96">
        <v>20213</v>
      </c>
      <c r="BW155" s="96">
        <v>16697</v>
      </c>
      <c r="BX155" s="96">
        <v>19220</v>
      </c>
      <c r="BY155" s="96">
        <v>23896</v>
      </c>
      <c r="BZ155" s="96">
        <v>17351</v>
      </c>
      <c r="CA155" s="96">
        <v>18715</v>
      </c>
    </row>
    <row r="156" spans="1:79" hidden="1" x14ac:dyDescent="0.2">
      <c r="A156" s="96" t="s">
        <v>721</v>
      </c>
      <c r="B156" s="96">
        <v>2548</v>
      </c>
      <c r="C156" s="96">
        <v>2596</v>
      </c>
      <c r="D156" s="96">
        <v>2381</v>
      </c>
      <c r="E156" s="96">
        <v>4051</v>
      </c>
      <c r="F156" s="96">
        <v>2487</v>
      </c>
      <c r="G156" s="96">
        <v>3341</v>
      </c>
      <c r="H156" s="96">
        <v>4596</v>
      </c>
      <c r="I156" s="96">
        <v>4020</v>
      </c>
      <c r="J156" s="96">
        <v>3646</v>
      </c>
      <c r="K156" s="96">
        <v>3643</v>
      </c>
      <c r="L156" s="96">
        <v>4621</v>
      </c>
      <c r="M156" s="96">
        <v>3680</v>
      </c>
      <c r="N156" s="96">
        <v>3633</v>
      </c>
      <c r="O156" s="96">
        <v>2550</v>
      </c>
      <c r="P156" s="96">
        <v>2621</v>
      </c>
      <c r="Q156" s="96">
        <v>3869</v>
      </c>
      <c r="R156" s="96">
        <v>2607</v>
      </c>
      <c r="S156" s="96">
        <v>2817</v>
      </c>
      <c r="T156" s="96">
        <v>4489</v>
      </c>
      <c r="U156" s="96">
        <v>3445</v>
      </c>
      <c r="V156" s="96">
        <v>3620</v>
      </c>
      <c r="W156" s="96">
        <v>2993</v>
      </c>
      <c r="X156" s="96">
        <v>3287</v>
      </c>
      <c r="Y156" s="96">
        <v>2412</v>
      </c>
      <c r="Z156" s="96">
        <v>2539</v>
      </c>
      <c r="AA156" s="96">
        <v>2543</v>
      </c>
      <c r="AB156" s="96">
        <v>2278</v>
      </c>
      <c r="AC156" s="96">
        <v>2166</v>
      </c>
      <c r="AD156" s="96">
        <v>2195</v>
      </c>
      <c r="AE156" s="96">
        <v>2575</v>
      </c>
      <c r="AF156" s="96">
        <v>2834</v>
      </c>
      <c r="AG156" s="96">
        <v>2464</v>
      </c>
      <c r="AH156" s="96">
        <v>2492</v>
      </c>
      <c r="AI156" s="96">
        <v>2698</v>
      </c>
      <c r="AJ156" s="96">
        <v>3305</v>
      </c>
      <c r="AK156" s="96">
        <v>2651</v>
      </c>
      <c r="AL156" s="96">
        <v>2579</v>
      </c>
      <c r="AM156" s="96">
        <v>2894</v>
      </c>
      <c r="AN156" s="96">
        <v>2523</v>
      </c>
      <c r="AO156" s="96">
        <v>3252</v>
      </c>
      <c r="AP156" s="96">
        <v>2760</v>
      </c>
      <c r="AQ156" s="96">
        <v>1922</v>
      </c>
      <c r="AR156" s="96">
        <v>3723</v>
      </c>
      <c r="AS156" s="96">
        <v>5162</v>
      </c>
      <c r="AT156" s="96">
        <v>3503</v>
      </c>
      <c r="AU156" s="96">
        <v>3949</v>
      </c>
      <c r="AV156" s="96">
        <v>3843</v>
      </c>
      <c r="AW156" s="96">
        <v>3858</v>
      </c>
      <c r="AX156" s="96">
        <v>4065</v>
      </c>
      <c r="AY156" s="96">
        <v>2864</v>
      </c>
      <c r="AZ156" s="96">
        <v>3678</v>
      </c>
      <c r="BA156" s="96">
        <v>4563</v>
      </c>
      <c r="BB156" s="96">
        <v>3597</v>
      </c>
      <c r="BC156" s="96">
        <v>4041</v>
      </c>
      <c r="BD156" s="96">
        <v>10497</v>
      </c>
      <c r="BE156" s="96">
        <v>3471</v>
      </c>
      <c r="BF156" s="96">
        <v>4945</v>
      </c>
      <c r="BG156" s="96">
        <v>3743</v>
      </c>
      <c r="BH156" s="96">
        <v>4045</v>
      </c>
      <c r="BI156" s="96">
        <v>3700</v>
      </c>
      <c r="BJ156" s="96">
        <v>3347</v>
      </c>
      <c r="BK156" s="96">
        <v>3878</v>
      </c>
      <c r="BL156" s="96">
        <v>4826</v>
      </c>
      <c r="BM156" s="96">
        <v>4253</v>
      </c>
      <c r="BN156" s="96">
        <v>3553</v>
      </c>
      <c r="BO156" s="96">
        <v>4058</v>
      </c>
      <c r="BP156" s="96">
        <v>4333</v>
      </c>
      <c r="BQ156" s="96">
        <v>4507</v>
      </c>
      <c r="BR156" s="96">
        <v>3997</v>
      </c>
      <c r="BS156" s="96">
        <v>4896</v>
      </c>
      <c r="BT156" s="96">
        <v>4206</v>
      </c>
      <c r="BU156" s="96">
        <v>3074</v>
      </c>
      <c r="BV156" s="96">
        <v>3510</v>
      </c>
      <c r="BW156" s="96">
        <v>4559</v>
      </c>
      <c r="BX156" s="96">
        <v>3895</v>
      </c>
      <c r="BY156" s="96">
        <v>3505</v>
      </c>
      <c r="BZ156" s="96">
        <v>3310</v>
      </c>
      <c r="CA156" s="96">
        <v>2875</v>
      </c>
    </row>
    <row r="157" spans="1:79" hidden="1" x14ac:dyDescent="0.2">
      <c r="A157" s="96" t="s">
        <v>722</v>
      </c>
      <c r="B157" s="96">
        <v>123658</v>
      </c>
      <c r="C157" s="96">
        <v>121188</v>
      </c>
      <c r="D157" s="96">
        <v>140936</v>
      </c>
      <c r="E157" s="96">
        <v>136535</v>
      </c>
      <c r="F157" s="96">
        <v>128089</v>
      </c>
      <c r="G157" s="96">
        <v>139147</v>
      </c>
      <c r="H157" s="96">
        <v>117356</v>
      </c>
      <c r="I157" s="96">
        <v>141779</v>
      </c>
      <c r="J157" s="96">
        <v>177312</v>
      </c>
      <c r="K157" s="96">
        <v>155785</v>
      </c>
      <c r="L157" s="96">
        <v>158527</v>
      </c>
      <c r="M157" s="96">
        <v>181844</v>
      </c>
      <c r="N157" s="96">
        <v>197501</v>
      </c>
      <c r="O157" s="96">
        <v>188218</v>
      </c>
      <c r="P157" s="96">
        <v>193896</v>
      </c>
      <c r="Q157" s="96">
        <v>189611</v>
      </c>
      <c r="R157" s="96">
        <v>199771</v>
      </c>
      <c r="S157" s="96">
        <v>172562</v>
      </c>
      <c r="T157" s="96">
        <v>172853</v>
      </c>
      <c r="U157" s="96">
        <v>143718</v>
      </c>
      <c r="V157" s="96">
        <v>186278</v>
      </c>
      <c r="W157" s="96">
        <v>160049</v>
      </c>
      <c r="X157" s="96">
        <v>149372</v>
      </c>
      <c r="Y157" s="96">
        <v>147851</v>
      </c>
      <c r="Z157" s="96">
        <v>114763</v>
      </c>
      <c r="AA157" s="96">
        <v>133712</v>
      </c>
      <c r="AB157" s="96">
        <v>119290</v>
      </c>
      <c r="AC157" s="96">
        <v>104886</v>
      </c>
      <c r="AD157" s="96">
        <v>97395</v>
      </c>
      <c r="AE157" s="96">
        <v>91198</v>
      </c>
      <c r="AF157" s="96">
        <v>86358</v>
      </c>
      <c r="AG157" s="96">
        <v>92563</v>
      </c>
      <c r="AH157" s="96">
        <v>96459</v>
      </c>
      <c r="AI157" s="96">
        <v>78548</v>
      </c>
      <c r="AJ157" s="96">
        <v>85614</v>
      </c>
      <c r="AK157" s="96">
        <v>72345</v>
      </c>
      <c r="AL157" s="96">
        <v>75464</v>
      </c>
      <c r="AM157" s="96">
        <v>82740</v>
      </c>
      <c r="AN157" s="96">
        <v>74612</v>
      </c>
      <c r="AO157" s="96">
        <v>84697</v>
      </c>
      <c r="AP157" s="96">
        <v>72760</v>
      </c>
      <c r="AQ157" s="96">
        <v>67436</v>
      </c>
      <c r="AR157" s="96">
        <v>79118</v>
      </c>
      <c r="AS157" s="96">
        <v>88629</v>
      </c>
      <c r="AT157" s="96">
        <v>93259</v>
      </c>
      <c r="AU157" s="96">
        <v>89024</v>
      </c>
      <c r="AV157" s="96">
        <v>82120</v>
      </c>
      <c r="AW157" s="96">
        <v>78061</v>
      </c>
      <c r="AX157" s="96">
        <v>89891</v>
      </c>
      <c r="AY157" s="96">
        <v>86725</v>
      </c>
      <c r="AZ157" s="96">
        <v>86370</v>
      </c>
      <c r="BA157" s="96">
        <v>88477</v>
      </c>
      <c r="BB157" s="96">
        <v>74172</v>
      </c>
      <c r="BC157" s="96">
        <v>83581</v>
      </c>
      <c r="BD157" s="96">
        <v>87939</v>
      </c>
      <c r="BE157" s="96">
        <v>98268</v>
      </c>
      <c r="BF157" s="96">
        <v>78326</v>
      </c>
      <c r="BG157" s="96">
        <v>94907</v>
      </c>
      <c r="BH157" s="96">
        <v>74170</v>
      </c>
      <c r="BI157" s="96">
        <v>88022</v>
      </c>
      <c r="BJ157" s="96">
        <v>75730</v>
      </c>
      <c r="BK157" s="96">
        <v>67180</v>
      </c>
      <c r="BL157" s="96">
        <v>69545</v>
      </c>
      <c r="BM157" s="96">
        <v>85381</v>
      </c>
      <c r="BN157" s="96">
        <v>76056</v>
      </c>
      <c r="BO157" s="96">
        <v>69855</v>
      </c>
      <c r="BP157" s="96">
        <v>98735</v>
      </c>
      <c r="BQ157" s="96">
        <v>76833</v>
      </c>
      <c r="BR157" s="96">
        <v>74162</v>
      </c>
      <c r="BS157" s="96">
        <v>66152</v>
      </c>
      <c r="BT157" s="96">
        <v>74657</v>
      </c>
      <c r="BU157" s="96">
        <v>62754</v>
      </c>
      <c r="BV157" s="96">
        <v>63830</v>
      </c>
      <c r="BW157" s="96">
        <v>62827</v>
      </c>
      <c r="BX157" s="96">
        <v>72113</v>
      </c>
      <c r="BY157" s="96">
        <v>79107</v>
      </c>
      <c r="BZ157" s="96">
        <v>78149</v>
      </c>
      <c r="CA157" s="96">
        <v>73704</v>
      </c>
    </row>
    <row r="158" spans="1:79" hidden="1" x14ac:dyDescent="0.2">
      <c r="A158" s="96" t="s">
        <v>723</v>
      </c>
      <c r="B158" s="96">
        <v>6361</v>
      </c>
      <c r="C158" s="96">
        <v>7180</v>
      </c>
      <c r="D158" s="96">
        <v>7544</v>
      </c>
      <c r="E158" s="96">
        <v>8194</v>
      </c>
      <c r="F158" s="96">
        <v>6634</v>
      </c>
      <c r="G158" s="96">
        <v>10117</v>
      </c>
      <c r="H158" s="96">
        <v>8180</v>
      </c>
      <c r="I158" s="96">
        <v>8205</v>
      </c>
      <c r="J158" s="96">
        <v>8060</v>
      </c>
      <c r="K158" s="96">
        <v>8205</v>
      </c>
      <c r="L158" s="96">
        <v>7463</v>
      </c>
      <c r="M158" s="96">
        <v>8604</v>
      </c>
      <c r="N158" s="96">
        <v>8033</v>
      </c>
      <c r="O158" s="96">
        <v>8062</v>
      </c>
      <c r="P158" s="96">
        <v>9482</v>
      </c>
      <c r="Q158" s="96">
        <v>9417</v>
      </c>
      <c r="R158" s="96">
        <v>10760</v>
      </c>
      <c r="S158" s="96">
        <v>8911</v>
      </c>
      <c r="T158" s="96">
        <v>11746</v>
      </c>
      <c r="U158" s="96">
        <v>11041</v>
      </c>
      <c r="V158" s="96">
        <v>13981</v>
      </c>
      <c r="W158" s="96">
        <v>12874</v>
      </c>
      <c r="X158" s="96">
        <v>13686</v>
      </c>
      <c r="Y158" s="96">
        <v>15453</v>
      </c>
      <c r="Z158" s="96">
        <v>13121</v>
      </c>
      <c r="AA158" s="96">
        <v>14700</v>
      </c>
      <c r="AB158" s="96">
        <v>14264</v>
      </c>
      <c r="AC158" s="96">
        <v>14482</v>
      </c>
      <c r="AD158" s="96">
        <v>13624</v>
      </c>
      <c r="AE158" s="96">
        <v>12044</v>
      </c>
      <c r="AF158" s="96">
        <v>14920</v>
      </c>
      <c r="AG158" s="96">
        <v>18587</v>
      </c>
      <c r="AH158" s="96">
        <v>13441</v>
      </c>
      <c r="AI158" s="96">
        <v>12862</v>
      </c>
      <c r="AJ158" s="96">
        <v>14045</v>
      </c>
      <c r="AK158" s="96">
        <v>15213</v>
      </c>
      <c r="AL158" s="96">
        <v>12938</v>
      </c>
      <c r="AM158" s="96">
        <v>16491</v>
      </c>
      <c r="AN158" s="96">
        <v>14253</v>
      </c>
      <c r="AO158" s="96">
        <v>18213</v>
      </c>
      <c r="AP158" s="96">
        <v>17523</v>
      </c>
      <c r="AQ158" s="96">
        <v>15395</v>
      </c>
      <c r="AR158" s="96">
        <v>19930</v>
      </c>
      <c r="AS158" s="96">
        <v>20429</v>
      </c>
      <c r="AT158" s="96">
        <v>18995</v>
      </c>
      <c r="AU158" s="96">
        <v>17680</v>
      </c>
      <c r="AV158" s="96">
        <v>16304</v>
      </c>
      <c r="AW158" s="96">
        <v>14617</v>
      </c>
      <c r="AX158" s="96">
        <v>19803</v>
      </c>
      <c r="AY158" s="96">
        <v>18794</v>
      </c>
      <c r="AZ158" s="96">
        <v>14991</v>
      </c>
      <c r="BA158" s="96">
        <v>20456</v>
      </c>
      <c r="BB158" s="96">
        <v>16303</v>
      </c>
      <c r="BC158" s="96">
        <v>19174</v>
      </c>
      <c r="BD158" s="96">
        <v>23440</v>
      </c>
      <c r="BE158" s="96">
        <v>18302</v>
      </c>
      <c r="BF158" s="96">
        <v>13008</v>
      </c>
      <c r="BG158" s="96">
        <v>8471</v>
      </c>
      <c r="BH158" s="96">
        <v>13866</v>
      </c>
      <c r="BI158" s="96">
        <v>12495</v>
      </c>
      <c r="BJ158" s="96">
        <v>12461</v>
      </c>
      <c r="BK158" s="96">
        <v>14202</v>
      </c>
      <c r="BL158" s="96">
        <v>7575</v>
      </c>
      <c r="BM158" s="96">
        <v>11041</v>
      </c>
      <c r="BN158" s="96">
        <v>6123</v>
      </c>
      <c r="BO158" s="96">
        <v>8745</v>
      </c>
      <c r="BP158" s="96">
        <v>10305</v>
      </c>
      <c r="BQ158" s="96">
        <v>9070</v>
      </c>
      <c r="BR158" s="96">
        <v>9623</v>
      </c>
      <c r="BS158" s="96">
        <v>9350</v>
      </c>
      <c r="BT158" s="96">
        <v>7439</v>
      </c>
      <c r="BU158" s="96">
        <v>8234</v>
      </c>
      <c r="BV158" s="96">
        <v>10068</v>
      </c>
      <c r="BW158" s="96">
        <v>6599</v>
      </c>
      <c r="BX158" s="96">
        <v>5055</v>
      </c>
      <c r="BY158" s="96">
        <v>8119</v>
      </c>
      <c r="BZ158" s="96">
        <v>8360</v>
      </c>
      <c r="CA158" s="96">
        <v>6643</v>
      </c>
    </row>
    <row r="159" spans="1:79" hidden="1" x14ac:dyDescent="0.2">
      <c r="A159" s="96" t="s">
        <v>724</v>
      </c>
      <c r="B159" s="96">
        <v>2495</v>
      </c>
      <c r="C159" s="96">
        <v>3505</v>
      </c>
      <c r="D159" s="96">
        <v>3362</v>
      </c>
      <c r="E159" s="96">
        <v>3581</v>
      </c>
      <c r="F159" s="96">
        <v>2318</v>
      </c>
      <c r="G159" s="96">
        <v>2825</v>
      </c>
      <c r="H159" s="96">
        <v>2887</v>
      </c>
      <c r="I159" s="96">
        <v>3376</v>
      </c>
      <c r="J159" s="96">
        <v>4326</v>
      </c>
      <c r="K159" s="96">
        <v>4376</v>
      </c>
      <c r="L159" s="96">
        <v>3809</v>
      </c>
      <c r="M159" s="96">
        <v>4164</v>
      </c>
      <c r="N159" s="96">
        <v>3704</v>
      </c>
      <c r="O159" s="96">
        <v>4317</v>
      </c>
      <c r="P159" s="96">
        <v>3297</v>
      </c>
      <c r="Q159" s="96">
        <v>4021</v>
      </c>
      <c r="R159" s="96">
        <v>3499</v>
      </c>
      <c r="S159" s="96">
        <v>3969</v>
      </c>
      <c r="T159" s="96">
        <v>3654</v>
      </c>
      <c r="U159" s="96">
        <v>4257</v>
      </c>
      <c r="V159" s="96">
        <v>5055</v>
      </c>
      <c r="W159" s="96">
        <v>4194</v>
      </c>
      <c r="X159" s="96">
        <v>4172</v>
      </c>
      <c r="Y159" s="96">
        <v>6263</v>
      </c>
      <c r="Z159" s="96">
        <v>4999</v>
      </c>
      <c r="AA159" s="96">
        <v>3305</v>
      </c>
      <c r="AB159" s="96">
        <v>3841</v>
      </c>
      <c r="AC159" s="96">
        <v>5471</v>
      </c>
      <c r="AD159" s="96">
        <v>3235</v>
      </c>
      <c r="AE159" s="96">
        <v>3771</v>
      </c>
      <c r="AF159" s="96">
        <v>2521</v>
      </c>
      <c r="AG159" s="96">
        <v>4417</v>
      </c>
      <c r="AH159" s="96">
        <v>4404</v>
      </c>
      <c r="AI159" s="96">
        <v>3288</v>
      </c>
      <c r="AJ159" s="96">
        <v>3946</v>
      </c>
      <c r="AK159" s="96">
        <v>3468</v>
      </c>
      <c r="AL159" s="96">
        <v>3620</v>
      </c>
      <c r="AM159" s="96">
        <v>3480</v>
      </c>
      <c r="AN159" s="96">
        <v>4058</v>
      </c>
      <c r="AO159" s="96">
        <v>4056</v>
      </c>
      <c r="AP159" s="96">
        <v>2822</v>
      </c>
      <c r="AQ159" s="96">
        <v>3671</v>
      </c>
      <c r="AR159" s="96">
        <v>3190</v>
      </c>
      <c r="AS159" s="96">
        <v>3217</v>
      </c>
      <c r="AT159" s="96">
        <v>4000</v>
      </c>
      <c r="AU159" s="96">
        <v>4355</v>
      </c>
      <c r="AV159" s="96">
        <v>3517</v>
      </c>
      <c r="AW159" s="96">
        <v>4499</v>
      </c>
      <c r="AX159" s="96">
        <v>3436</v>
      </c>
      <c r="AY159" s="96">
        <v>4520</v>
      </c>
      <c r="AZ159" s="96">
        <v>3834</v>
      </c>
      <c r="BA159" s="96">
        <v>4868</v>
      </c>
      <c r="BB159" s="96">
        <v>3046</v>
      </c>
      <c r="BC159" s="96">
        <v>3832</v>
      </c>
      <c r="BD159" s="96">
        <v>4299</v>
      </c>
      <c r="BE159" s="96">
        <v>3520</v>
      </c>
      <c r="BF159" s="96">
        <v>3228</v>
      </c>
      <c r="BG159" s="96">
        <v>3951</v>
      </c>
      <c r="BH159" s="96">
        <v>3017</v>
      </c>
      <c r="BI159" s="96">
        <v>3771</v>
      </c>
      <c r="BJ159" s="96">
        <v>3809</v>
      </c>
      <c r="BK159" s="96">
        <v>3345</v>
      </c>
      <c r="BL159" s="96">
        <v>3629</v>
      </c>
      <c r="BM159" s="96">
        <v>4922</v>
      </c>
      <c r="BN159" s="96">
        <v>2889</v>
      </c>
      <c r="BO159" s="96">
        <v>3700</v>
      </c>
      <c r="BP159" s="96">
        <v>3578</v>
      </c>
      <c r="BQ159" s="96">
        <v>3252</v>
      </c>
      <c r="BR159" s="96">
        <v>4632</v>
      </c>
      <c r="BS159" s="96">
        <v>3882</v>
      </c>
      <c r="BT159" s="96">
        <v>2856</v>
      </c>
      <c r="BU159" s="96">
        <v>2611</v>
      </c>
      <c r="BV159" s="96">
        <v>2988</v>
      </c>
      <c r="BW159" s="96">
        <v>2647</v>
      </c>
      <c r="BX159" s="96">
        <v>2173</v>
      </c>
      <c r="BY159" s="96">
        <v>2759</v>
      </c>
      <c r="BZ159" s="96">
        <v>4112</v>
      </c>
      <c r="CA159" s="96">
        <v>3809</v>
      </c>
    </row>
    <row r="160" spans="1:79" hidden="1" x14ac:dyDescent="0.2">
      <c r="A160" s="96" t="s">
        <v>725</v>
      </c>
      <c r="B160" s="96">
        <v>9139</v>
      </c>
      <c r="C160" s="96">
        <v>5536</v>
      </c>
      <c r="D160" s="96">
        <v>9512</v>
      </c>
      <c r="E160" s="96">
        <v>8125</v>
      </c>
      <c r="F160" s="96">
        <v>3538</v>
      </c>
      <c r="G160" s="96">
        <v>6959</v>
      </c>
      <c r="H160" s="96">
        <v>7200</v>
      </c>
      <c r="I160" s="96">
        <v>6219</v>
      </c>
      <c r="J160" s="96">
        <v>6539</v>
      </c>
      <c r="K160" s="96">
        <v>6153</v>
      </c>
      <c r="L160" s="96">
        <v>5233</v>
      </c>
      <c r="M160" s="96">
        <v>6910</v>
      </c>
      <c r="N160" s="96">
        <v>6296</v>
      </c>
      <c r="O160" s="96">
        <v>6584</v>
      </c>
      <c r="P160" s="96">
        <v>7452</v>
      </c>
      <c r="Q160" s="96">
        <v>5543</v>
      </c>
      <c r="R160" s="96">
        <v>4257</v>
      </c>
      <c r="S160" s="96">
        <v>6824</v>
      </c>
      <c r="T160" s="96">
        <v>4723</v>
      </c>
      <c r="U160" s="96">
        <v>8657</v>
      </c>
      <c r="V160" s="96">
        <v>6333</v>
      </c>
      <c r="W160" s="96">
        <v>5869</v>
      </c>
      <c r="X160" s="96">
        <v>6713</v>
      </c>
      <c r="Y160" s="96">
        <v>6861</v>
      </c>
      <c r="Z160" s="96">
        <v>5265</v>
      </c>
      <c r="AA160" s="96">
        <v>5789</v>
      </c>
      <c r="AB160" s="96">
        <v>4006</v>
      </c>
      <c r="AC160" s="96">
        <v>8830</v>
      </c>
      <c r="AD160" s="96">
        <v>3255</v>
      </c>
      <c r="AE160" s="96">
        <v>5628</v>
      </c>
      <c r="AF160" s="96">
        <v>5512</v>
      </c>
      <c r="AG160" s="96">
        <v>4274</v>
      </c>
      <c r="AH160" s="96">
        <v>5406</v>
      </c>
      <c r="AI160" s="96">
        <v>7240</v>
      </c>
      <c r="AJ160" s="96">
        <v>4640</v>
      </c>
      <c r="AK160" s="96">
        <v>6866</v>
      </c>
      <c r="AL160" s="96">
        <v>2398</v>
      </c>
      <c r="AM160" s="96">
        <v>5308</v>
      </c>
      <c r="AN160" s="96">
        <v>5423</v>
      </c>
      <c r="AO160" s="96">
        <v>4143</v>
      </c>
      <c r="AP160" s="96">
        <v>6259</v>
      </c>
      <c r="AQ160" s="96">
        <v>2279</v>
      </c>
      <c r="AR160" s="96">
        <v>5210</v>
      </c>
      <c r="AS160" s="96">
        <v>3792</v>
      </c>
      <c r="AT160" s="96">
        <v>6771</v>
      </c>
      <c r="AU160" s="96">
        <v>5364</v>
      </c>
      <c r="AV160" s="96">
        <v>6040</v>
      </c>
      <c r="AW160" s="96">
        <v>4804</v>
      </c>
      <c r="AX160" s="96">
        <v>8659</v>
      </c>
      <c r="AY160" s="96">
        <v>6665</v>
      </c>
      <c r="AZ160" s="96">
        <v>6053</v>
      </c>
      <c r="BA160" s="96">
        <v>5217</v>
      </c>
      <c r="BB160" s="96">
        <v>5695</v>
      </c>
      <c r="BC160" s="96">
        <v>6337</v>
      </c>
      <c r="BD160" s="96">
        <v>6869</v>
      </c>
      <c r="BE160" s="96">
        <v>7350</v>
      </c>
      <c r="BF160" s="96">
        <v>5604</v>
      </c>
      <c r="BG160" s="96">
        <v>5917</v>
      </c>
      <c r="BH160" s="96">
        <v>5918</v>
      </c>
      <c r="BI160" s="96">
        <v>6420</v>
      </c>
      <c r="BJ160" s="96">
        <v>4043</v>
      </c>
      <c r="BK160" s="96">
        <v>3627</v>
      </c>
      <c r="BL160" s="96">
        <v>7187</v>
      </c>
      <c r="BM160" s="96">
        <v>4164</v>
      </c>
      <c r="BN160" s="96">
        <v>2240</v>
      </c>
      <c r="BO160" s="96">
        <v>6005</v>
      </c>
      <c r="BP160" s="96">
        <v>3512</v>
      </c>
      <c r="BQ160" s="96">
        <v>5063</v>
      </c>
      <c r="BR160" s="96">
        <v>4437</v>
      </c>
      <c r="BS160" s="96">
        <v>2608</v>
      </c>
      <c r="BT160" s="96">
        <v>3251</v>
      </c>
      <c r="BU160" s="96">
        <v>4972</v>
      </c>
      <c r="BV160" s="96">
        <v>6520</v>
      </c>
      <c r="BW160" s="96">
        <v>2988</v>
      </c>
      <c r="BX160" s="96">
        <v>5302</v>
      </c>
      <c r="BY160" s="96">
        <v>6891</v>
      </c>
      <c r="BZ160" s="96">
        <v>4998</v>
      </c>
      <c r="CA160" s="96">
        <v>4036</v>
      </c>
    </row>
    <row r="161" spans="1:79" hidden="1" x14ac:dyDescent="0.2">
      <c r="A161" s="96" t="s">
        <v>726</v>
      </c>
      <c r="B161" s="96">
        <v>11152</v>
      </c>
      <c r="C161" s="96">
        <v>11041</v>
      </c>
      <c r="D161" s="96">
        <v>12634</v>
      </c>
      <c r="E161" s="96">
        <v>19488</v>
      </c>
      <c r="F161" s="96">
        <v>9300</v>
      </c>
      <c r="G161" s="96">
        <v>15242</v>
      </c>
      <c r="H161" s="96">
        <v>12368</v>
      </c>
      <c r="I161" s="96">
        <v>9650</v>
      </c>
      <c r="J161" s="96">
        <v>15265</v>
      </c>
      <c r="K161" s="96">
        <v>8159</v>
      </c>
      <c r="L161" s="96">
        <v>8172</v>
      </c>
      <c r="M161" s="96">
        <v>8079</v>
      </c>
      <c r="N161" s="96">
        <v>8951</v>
      </c>
      <c r="O161" s="96">
        <v>10619</v>
      </c>
      <c r="P161" s="96">
        <v>11628</v>
      </c>
      <c r="Q161" s="96">
        <v>8222</v>
      </c>
      <c r="R161" s="96">
        <v>9573</v>
      </c>
      <c r="S161" s="96">
        <v>8284</v>
      </c>
      <c r="T161" s="96">
        <v>11536</v>
      </c>
      <c r="U161" s="96">
        <v>9880</v>
      </c>
      <c r="V161" s="96">
        <v>10378</v>
      </c>
      <c r="W161" s="96">
        <v>8184</v>
      </c>
      <c r="X161" s="96">
        <v>10756</v>
      </c>
      <c r="Y161" s="96">
        <v>8725</v>
      </c>
      <c r="Z161" s="96">
        <v>7530</v>
      </c>
      <c r="AA161" s="96">
        <v>8248</v>
      </c>
      <c r="AB161" s="96">
        <v>7666</v>
      </c>
      <c r="AC161" s="96">
        <v>5707</v>
      </c>
      <c r="AD161" s="96">
        <v>7786</v>
      </c>
      <c r="AE161" s="96">
        <v>6413</v>
      </c>
      <c r="AF161" s="96">
        <v>6930</v>
      </c>
      <c r="AG161" s="96">
        <v>6700</v>
      </c>
      <c r="AH161" s="96">
        <v>5493</v>
      </c>
      <c r="AI161" s="96">
        <v>4669</v>
      </c>
      <c r="AJ161" s="96">
        <v>6338</v>
      </c>
      <c r="AK161" s="96">
        <v>6361</v>
      </c>
      <c r="AL161" s="96">
        <v>6045</v>
      </c>
      <c r="AM161" s="96">
        <v>5910</v>
      </c>
      <c r="AN161" s="96">
        <v>3750</v>
      </c>
      <c r="AO161" s="96">
        <v>5452</v>
      </c>
      <c r="AP161" s="96">
        <v>5296</v>
      </c>
      <c r="AQ161" s="96">
        <v>7119</v>
      </c>
      <c r="AR161" s="96">
        <v>4407</v>
      </c>
      <c r="AS161" s="96">
        <v>5811</v>
      </c>
      <c r="AT161" s="96">
        <v>5916</v>
      </c>
      <c r="AU161" s="96">
        <v>5853</v>
      </c>
      <c r="AV161" s="96">
        <v>5682</v>
      </c>
      <c r="AW161" s="96">
        <v>6862</v>
      </c>
      <c r="AX161" s="96">
        <v>6577</v>
      </c>
      <c r="AY161" s="96">
        <v>8151</v>
      </c>
      <c r="AZ161" s="96">
        <v>6056</v>
      </c>
      <c r="BA161" s="96">
        <v>5698</v>
      </c>
      <c r="BB161" s="96">
        <v>3875</v>
      </c>
      <c r="BC161" s="96">
        <v>5064</v>
      </c>
      <c r="BD161" s="96">
        <v>5975</v>
      </c>
      <c r="BE161" s="96">
        <v>5676</v>
      </c>
      <c r="BF161" s="96">
        <v>7458</v>
      </c>
      <c r="BG161" s="96">
        <v>6613</v>
      </c>
      <c r="BH161" s="96">
        <v>5920</v>
      </c>
      <c r="BI161" s="96">
        <v>5734</v>
      </c>
      <c r="BJ161" s="96">
        <v>7295</v>
      </c>
      <c r="BK161" s="96">
        <v>4940</v>
      </c>
      <c r="BL161" s="96">
        <v>6450</v>
      </c>
      <c r="BM161" s="96">
        <v>6916</v>
      </c>
      <c r="BN161" s="96">
        <v>4275</v>
      </c>
      <c r="BO161" s="96">
        <v>6715</v>
      </c>
      <c r="BP161" s="96">
        <v>6172</v>
      </c>
      <c r="BQ161" s="96">
        <v>4473</v>
      </c>
      <c r="BR161" s="96">
        <v>5318</v>
      </c>
      <c r="BS161" s="96">
        <v>3645</v>
      </c>
      <c r="BT161" s="96">
        <v>5358</v>
      </c>
      <c r="BU161" s="96">
        <v>5155</v>
      </c>
      <c r="BV161" s="96">
        <v>6819</v>
      </c>
      <c r="BW161" s="96">
        <v>6560</v>
      </c>
      <c r="BX161" s="96">
        <v>4703</v>
      </c>
      <c r="BY161" s="96">
        <v>5025</v>
      </c>
      <c r="BZ161" s="96">
        <v>6089</v>
      </c>
      <c r="CA161" s="96">
        <v>7367</v>
      </c>
    </row>
    <row r="162" spans="1:79" hidden="1" x14ac:dyDescent="0.2"/>
    <row r="163" spans="1:79" hidden="1" x14ac:dyDescent="0.2">
      <c r="A163" s="96"/>
      <c r="B163" s="106">
        <v>2026</v>
      </c>
      <c r="C163" s="106">
        <v>2025</v>
      </c>
      <c r="D163" s="106">
        <v>2024</v>
      </c>
      <c r="E163" s="106">
        <v>2023</v>
      </c>
      <c r="F163" s="106">
        <v>2022</v>
      </c>
      <c r="G163" s="106">
        <v>2021</v>
      </c>
      <c r="H163" s="106">
        <v>2020</v>
      </c>
    </row>
    <row r="164" spans="1:79" hidden="1" x14ac:dyDescent="0.2">
      <c r="A164" s="96" t="s">
        <v>630</v>
      </c>
      <c r="B164" s="96">
        <f>SUM(B153:G153)</f>
        <v>160857315</v>
      </c>
      <c r="C164" s="96">
        <f>SUM(H153:S153)</f>
        <v>284668802</v>
      </c>
      <c r="D164" s="96">
        <f>SUM(T153:AE153)</f>
        <v>286597705</v>
      </c>
      <c r="E164" s="96">
        <f>SUM(AF153:AQ153)</f>
        <v>285052963</v>
      </c>
      <c r="F164" s="96">
        <f>SUM(AR153:BC153)</f>
        <v>329668829</v>
      </c>
      <c r="G164" s="96">
        <f>SUM(BD153:BO153)</f>
        <v>278975365</v>
      </c>
      <c r="H164" s="96">
        <f>SUM(BP153:CA153)</f>
        <v>234449369</v>
      </c>
    </row>
    <row r="165" spans="1:79" hidden="1" x14ac:dyDescent="0.2">
      <c r="A165" s="96" t="s">
        <v>631</v>
      </c>
      <c r="B165" s="96">
        <f t="shared" ref="B165:B172" si="10">SUM(B154:G154)</f>
        <v>45771</v>
      </c>
      <c r="C165" s="96">
        <f t="shared" ref="C165:C172" si="11">SUM(H154:S154)</f>
        <v>115782</v>
      </c>
      <c r="D165" s="96">
        <f t="shared" ref="D165:D172" si="12">SUM(T154:AE154)</f>
        <v>167380</v>
      </c>
      <c r="E165" s="96">
        <f t="shared" ref="E165:E172" si="13">SUM(AF154:AQ154)</f>
        <v>201569</v>
      </c>
      <c r="F165" s="96">
        <f t="shared" ref="F165:F172" si="14">SUM(AR154:BC154)</f>
        <v>223447</v>
      </c>
      <c r="G165" s="96">
        <f t="shared" ref="G165:G172" si="15">SUM(BD154:BO154)</f>
        <v>223615</v>
      </c>
      <c r="H165" s="96">
        <f t="shared" ref="H165:H172" si="16">SUM(BP154:CA154)</f>
        <v>187042</v>
      </c>
    </row>
    <row r="166" spans="1:79" hidden="1" x14ac:dyDescent="0.2">
      <c r="A166" s="96" t="s">
        <v>632</v>
      </c>
      <c r="B166" s="96">
        <f t="shared" si="10"/>
        <v>138236</v>
      </c>
      <c r="C166" s="96">
        <f t="shared" si="11"/>
        <v>280604</v>
      </c>
      <c r="D166" s="96">
        <f t="shared" si="12"/>
        <v>318637</v>
      </c>
      <c r="E166" s="96">
        <f t="shared" si="13"/>
        <v>295892</v>
      </c>
      <c r="F166" s="96">
        <f t="shared" si="14"/>
        <v>283142</v>
      </c>
      <c r="G166" s="96">
        <f t="shared" si="15"/>
        <v>266405</v>
      </c>
      <c r="H166" s="96">
        <f t="shared" si="16"/>
        <v>250286</v>
      </c>
    </row>
    <row r="167" spans="1:79" hidden="1" x14ac:dyDescent="0.2">
      <c r="A167" s="96" t="s">
        <v>633</v>
      </c>
      <c r="B167" s="96">
        <f t="shared" si="10"/>
        <v>17404</v>
      </c>
      <c r="C167" s="96">
        <f t="shared" si="11"/>
        <v>42303</v>
      </c>
      <c r="D167" s="96">
        <f t="shared" si="12"/>
        <v>34542</v>
      </c>
      <c r="E167" s="96">
        <f t="shared" si="13"/>
        <v>32374</v>
      </c>
      <c r="F167" s="96">
        <f t="shared" si="14"/>
        <v>46846</v>
      </c>
      <c r="G167" s="96">
        <f t="shared" si="15"/>
        <v>54316</v>
      </c>
      <c r="H167" s="96">
        <f t="shared" si="16"/>
        <v>46667</v>
      </c>
    </row>
    <row r="168" spans="1:79" hidden="1" x14ac:dyDescent="0.2">
      <c r="A168" s="96" t="s">
        <v>634</v>
      </c>
      <c r="B168" s="96">
        <f t="shared" si="10"/>
        <v>789553</v>
      </c>
      <c r="C168" s="96">
        <f t="shared" si="11"/>
        <v>2074162</v>
      </c>
      <c r="D168" s="96">
        <f t="shared" si="12"/>
        <v>1621365</v>
      </c>
      <c r="E168" s="96">
        <f t="shared" si="13"/>
        <v>969596</v>
      </c>
      <c r="F168" s="96">
        <f t="shared" si="14"/>
        <v>1019427</v>
      </c>
      <c r="G168" s="96">
        <f t="shared" si="15"/>
        <v>965379</v>
      </c>
      <c r="H168" s="96">
        <f t="shared" si="16"/>
        <v>883023</v>
      </c>
    </row>
    <row r="169" spans="1:79" hidden="1" x14ac:dyDescent="0.2">
      <c r="A169" s="96" t="s">
        <v>635</v>
      </c>
      <c r="B169" s="96">
        <f t="shared" si="10"/>
        <v>46030</v>
      </c>
      <c r="C169" s="96">
        <f t="shared" si="11"/>
        <v>103382</v>
      </c>
      <c r="D169" s="96">
        <f t="shared" si="12"/>
        <v>161016</v>
      </c>
      <c r="E169" s="96">
        <f t="shared" si="13"/>
        <v>183881</v>
      </c>
      <c r="F169" s="96">
        <f t="shared" si="14"/>
        <v>217476</v>
      </c>
      <c r="G169" s="96">
        <f t="shared" si="15"/>
        <v>149729</v>
      </c>
      <c r="H169" s="96">
        <f t="shared" si="16"/>
        <v>98865</v>
      </c>
    </row>
    <row r="170" spans="1:79" hidden="1" x14ac:dyDescent="0.2">
      <c r="A170" s="96" t="s">
        <v>636</v>
      </c>
      <c r="B170" s="96">
        <f t="shared" si="10"/>
        <v>18086</v>
      </c>
      <c r="C170" s="96">
        <f t="shared" si="11"/>
        <v>45745</v>
      </c>
      <c r="D170" s="96">
        <f t="shared" si="12"/>
        <v>52217</v>
      </c>
      <c r="E170" s="96">
        <f t="shared" si="13"/>
        <v>43751</v>
      </c>
      <c r="F170" s="96">
        <f t="shared" si="14"/>
        <v>46314</v>
      </c>
      <c r="G170" s="96">
        <f t="shared" si="15"/>
        <v>44080</v>
      </c>
      <c r="H170" s="96">
        <f t="shared" si="16"/>
        <v>39299</v>
      </c>
    </row>
    <row r="171" spans="1:79" hidden="1" x14ac:dyDescent="0.2">
      <c r="A171" s="96" t="s">
        <v>637</v>
      </c>
      <c r="B171" s="96">
        <f t="shared" si="10"/>
        <v>42809</v>
      </c>
      <c r="C171" s="96">
        <f t="shared" si="11"/>
        <v>75210</v>
      </c>
      <c r="D171" s="96">
        <f t="shared" si="12"/>
        <v>71929</v>
      </c>
      <c r="E171" s="96">
        <f t="shared" si="13"/>
        <v>59748</v>
      </c>
      <c r="F171" s="96">
        <f t="shared" si="14"/>
        <v>70607</v>
      </c>
      <c r="G171" s="96">
        <f t="shared" si="15"/>
        <v>65344</v>
      </c>
      <c r="H171" s="96">
        <f t="shared" si="16"/>
        <v>54578</v>
      </c>
    </row>
    <row r="172" spans="1:79" hidden="1" x14ac:dyDescent="0.2">
      <c r="A172" s="96" t="s">
        <v>638</v>
      </c>
      <c r="B172" s="96">
        <f t="shared" si="10"/>
        <v>78857</v>
      </c>
      <c r="C172" s="96">
        <f t="shared" si="11"/>
        <v>118970</v>
      </c>
      <c r="D172" s="96">
        <f t="shared" si="12"/>
        <v>102809</v>
      </c>
      <c r="E172" s="96">
        <f t="shared" si="13"/>
        <v>70063</v>
      </c>
      <c r="F172" s="96">
        <f t="shared" si="14"/>
        <v>69952</v>
      </c>
      <c r="G172" s="96">
        <f t="shared" si="15"/>
        <v>73967</v>
      </c>
      <c r="H172" s="96">
        <f t="shared" si="16"/>
        <v>66684</v>
      </c>
    </row>
    <row r="173" spans="1:79" hidden="1" x14ac:dyDescent="0.2"/>
    <row r="174" spans="1:79" hidden="1" x14ac:dyDescent="0.2"/>
    <row r="175" spans="1:79" hidden="1" x14ac:dyDescent="0.2"/>
    <row r="176" spans="1:79" hidden="1" x14ac:dyDescent="0.2">
      <c r="A176">
        <v>2020</v>
      </c>
      <c r="B176" s="32" t="s">
        <v>728</v>
      </c>
      <c r="C176" s="32" t="s">
        <v>729</v>
      </c>
      <c r="D176" s="32" t="s">
        <v>731</v>
      </c>
      <c r="E176" s="32" t="s">
        <v>529</v>
      </c>
      <c r="F176" s="32" t="s">
        <v>533</v>
      </c>
      <c r="G176" s="32" t="s">
        <v>226</v>
      </c>
      <c r="H176" s="32" t="s">
        <v>227</v>
      </c>
      <c r="I176" s="32" t="s">
        <v>228</v>
      </c>
      <c r="J176" s="32" t="s">
        <v>229</v>
      </c>
      <c r="K176" s="32" t="s">
        <v>235</v>
      </c>
    </row>
    <row r="177" spans="1:3" hidden="1" x14ac:dyDescent="0.2">
      <c r="A177" s="96" t="s">
        <v>630</v>
      </c>
      <c r="B177">
        <v>453467443</v>
      </c>
      <c r="C177">
        <v>234449369</v>
      </c>
    </row>
    <row r="178" spans="1:3" hidden="1" x14ac:dyDescent="0.2">
      <c r="A178" s="96" t="s">
        <v>631</v>
      </c>
      <c r="B178">
        <v>1608891</v>
      </c>
      <c r="C178">
        <v>187042</v>
      </c>
    </row>
    <row r="179" spans="1:3" hidden="1" x14ac:dyDescent="0.2">
      <c r="A179" s="96" t="s">
        <v>632</v>
      </c>
      <c r="B179">
        <v>1312526</v>
      </c>
      <c r="C179">
        <v>250286</v>
      </c>
    </row>
    <row r="180" spans="1:3" hidden="1" x14ac:dyDescent="0.2">
      <c r="A180" s="96" t="s">
        <v>633</v>
      </c>
      <c r="B180">
        <v>2418436</v>
      </c>
      <c r="C180">
        <v>46667</v>
      </c>
    </row>
    <row r="181" spans="1:3" hidden="1" x14ac:dyDescent="0.2">
      <c r="A181" s="96" t="s">
        <v>634</v>
      </c>
      <c r="B181">
        <v>1178796</v>
      </c>
      <c r="C181">
        <v>883023</v>
      </c>
    </row>
    <row r="182" spans="1:3" hidden="1" x14ac:dyDescent="0.2">
      <c r="A182" s="96" t="s">
        <v>635</v>
      </c>
      <c r="B182">
        <v>3338423</v>
      </c>
      <c r="C182">
        <v>98865</v>
      </c>
    </row>
    <row r="183" spans="1:3" hidden="1" x14ac:dyDescent="0.2">
      <c r="A183" s="96" t="s">
        <v>636</v>
      </c>
      <c r="B183">
        <v>377509</v>
      </c>
      <c r="C183">
        <v>39299</v>
      </c>
    </row>
    <row r="184" spans="1:3" hidden="1" x14ac:dyDescent="0.2">
      <c r="A184" s="96" t="s">
        <v>637</v>
      </c>
      <c r="B184">
        <v>548336</v>
      </c>
      <c r="C184">
        <v>54578</v>
      </c>
    </row>
    <row r="185" spans="1:3" hidden="1" x14ac:dyDescent="0.2">
      <c r="A185" s="96" t="s">
        <v>638</v>
      </c>
      <c r="B185">
        <v>851897</v>
      </c>
      <c r="C185">
        <v>66684</v>
      </c>
    </row>
    <row r="186" spans="1:3" hidden="1" x14ac:dyDescent="0.2"/>
    <row r="193" spans="1:13" x14ac:dyDescent="0.2">
      <c r="A193" s="32" t="s">
        <v>736</v>
      </c>
    </row>
    <row r="194" spans="1:13" ht="15" x14ac:dyDescent="0.2">
      <c r="A194" s="135" t="s">
        <v>231</v>
      </c>
      <c r="B194" s="135" t="s">
        <v>2</v>
      </c>
      <c r="C194" s="135" t="s">
        <v>516</v>
      </c>
      <c r="D194" s="135" t="s">
        <v>217</v>
      </c>
      <c r="E194" s="135" t="s">
        <v>218</v>
      </c>
      <c r="F194" s="135" t="s">
        <v>734</v>
      </c>
      <c r="G194" s="135" t="s">
        <v>526</v>
      </c>
      <c r="H194" s="135" t="s">
        <v>527</v>
      </c>
      <c r="I194" s="135" t="s">
        <v>528</v>
      </c>
      <c r="J194" s="135" t="s">
        <v>529</v>
      </c>
      <c r="K194" s="135" t="s">
        <v>530</v>
      </c>
      <c r="L194" s="135" t="s">
        <v>531</v>
      </c>
      <c r="M194" s="135" t="s">
        <v>532</v>
      </c>
    </row>
    <row r="195" spans="1:13" x14ac:dyDescent="0.2">
      <c r="A195" s="65">
        <v>2018</v>
      </c>
      <c r="B195" s="65">
        <v>2018</v>
      </c>
      <c r="C195" s="65" t="s">
        <v>517</v>
      </c>
      <c r="D195" s="65" t="s">
        <v>195</v>
      </c>
      <c r="E195" s="65" t="s">
        <v>196</v>
      </c>
      <c r="F195" s="65">
        <v>4853</v>
      </c>
      <c r="G195" s="65">
        <v>4477</v>
      </c>
      <c r="H195" s="65">
        <v>416</v>
      </c>
      <c r="I195" s="65">
        <v>276</v>
      </c>
      <c r="J195" s="65">
        <v>8637</v>
      </c>
      <c r="K195" s="65">
        <v>5257</v>
      </c>
      <c r="L195" s="65">
        <v>202</v>
      </c>
      <c r="M195" s="65">
        <v>0</v>
      </c>
    </row>
    <row r="196" spans="1:13" x14ac:dyDescent="0.2">
      <c r="A196" s="65">
        <v>2018</v>
      </c>
      <c r="B196" s="65">
        <v>2018</v>
      </c>
      <c r="C196" s="65" t="s">
        <v>517</v>
      </c>
      <c r="D196" s="65" t="s">
        <v>195</v>
      </c>
      <c r="E196" s="65" t="s">
        <v>197</v>
      </c>
      <c r="F196" s="65">
        <v>93280</v>
      </c>
      <c r="G196" s="65">
        <v>29441</v>
      </c>
      <c r="H196" s="65">
        <v>3840</v>
      </c>
      <c r="I196" s="65">
        <v>2948</v>
      </c>
      <c r="J196" s="65">
        <v>115934</v>
      </c>
      <c r="K196" s="65">
        <v>55631</v>
      </c>
      <c r="L196" s="65">
        <v>1327</v>
      </c>
      <c r="M196" s="65">
        <v>22957</v>
      </c>
    </row>
    <row r="197" spans="1:13" x14ac:dyDescent="0.2">
      <c r="A197" s="65">
        <v>2018</v>
      </c>
      <c r="B197" s="65">
        <v>2018</v>
      </c>
      <c r="C197" s="65" t="s">
        <v>517</v>
      </c>
      <c r="D197" s="65" t="s">
        <v>195</v>
      </c>
      <c r="E197" s="65" t="s">
        <v>198</v>
      </c>
      <c r="F197" s="65">
        <v>12525</v>
      </c>
      <c r="G197" s="65">
        <v>108</v>
      </c>
      <c r="H197" s="65">
        <v>507</v>
      </c>
      <c r="I197" s="65">
        <v>82</v>
      </c>
      <c r="J197" s="65">
        <v>12044</v>
      </c>
      <c r="K197" s="65">
        <v>519</v>
      </c>
      <c r="L197" s="65">
        <v>280</v>
      </c>
      <c r="M197" s="65">
        <v>0</v>
      </c>
    </row>
    <row r="198" spans="1:13" x14ac:dyDescent="0.2">
      <c r="A198" s="65">
        <v>2018</v>
      </c>
      <c r="B198" s="65">
        <v>2018</v>
      </c>
      <c r="C198" s="65" t="s">
        <v>517</v>
      </c>
      <c r="D198" s="65" t="s">
        <v>195</v>
      </c>
      <c r="E198" s="65" t="s">
        <v>199</v>
      </c>
      <c r="F198" s="65">
        <v>0</v>
      </c>
      <c r="G198" s="65">
        <v>228</v>
      </c>
      <c r="H198" s="65">
        <v>5</v>
      </c>
      <c r="I198" s="65">
        <v>35</v>
      </c>
      <c r="J198" s="65">
        <v>188</v>
      </c>
      <c r="K198" s="65">
        <v>31</v>
      </c>
      <c r="L198" s="65">
        <v>0</v>
      </c>
      <c r="M198" s="65">
        <v>0</v>
      </c>
    </row>
    <row r="199" spans="1:13" x14ac:dyDescent="0.2">
      <c r="A199" s="65">
        <v>2018</v>
      </c>
      <c r="B199" s="65">
        <v>2018</v>
      </c>
      <c r="C199" s="65" t="s">
        <v>517</v>
      </c>
      <c r="D199" s="65" t="s">
        <v>195</v>
      </c>
      <c r="E199" s="65" t="s">
        <v>212</v>
      </c>
      <c r="F199" s="65">
        <v>505</v>
      </c>
      <c r="G199" s="65">
        <v>90</v>
      </c>
      <c r="H199" s="65">
        <v>22</v>
      </c>
      <c r="I199" s="65">
        <v>370</v>
      </c>
      <c r="J199" s="65">
        <v>203</v>
      </c>
      <c r="K199" s="65">
        <v>63</v>
      </c>
      <c r="L199" s="65">
        <v>8</v>
      </c>
      <c r="M199" s="65">
        <v>1</v>
      </c>
    </row>
    <row r="200" spans="1:13" x14ac:dyDescent="0.2">
      <c r="A200" s="65">
        <v>2018</v>
      </c>
      <c r="B200" s="65">
        <v>2018</v>
      </c>
      <c r="C200" s="65" t="s">
        <v>517</v>
      </c>
      <c r="D200" s="65" t="s">
        <v>195</v>
      </c>
      <c r="E200" s="65" t="s">
        <v>200</v>
      </c>
      <c r="F200" s="65">
        <v>470722</v>
      </c>
      <c r="G200" s="65">
        <v>13524</v>
      </c>
      <c r="H200" s="65">
        <v>30503</v>
      </c>
      <c r="I200" s="65">
        <v>51282</v>
      </c>
      <c r="J200" s="65">
        <v>402460</v>
      </c>
      <c r="K200" s="65">
        <v>23673</v>
      </c>
      <c r="L200" s="65">
        <v>9394</v>
      </c>
      <c r="M200" s="65">
        <v>31986</v>
      </c>
    </row>
    <row r="201" spans="1:13" x14ac:dyDescent="0.2">
      <c r="A201" s="65">
        <v>2018</v>
      </c>
      <c r="B201" s="65">
        <v>2018</v>
      </c>
      <c r="C201" s="65" t="s">
        <v>517</v>
      </c>
      <c r="D201" s="65" t="s">
        <v>195</v>
      </c>
      <c r="E201" s="65" t="s">
        <v>201</v>
      </c>
      <c r="F201" s="65">
        <v>0</v>
      </c>
      <c r="G201" s="65">
        <v>7</v>
      </c>
      <c r="H201" s="65">
        <v>0</v>
      </c>
      <c r="I201" s="65">
        <v>0</v>
      </c>
      <c r="J201" s="65">
        <v>8</v>
      </c>
      <c r="K201" s="65">
        <v>1</v>
      </c>
      <c r="L201" s="65">
        <v>0</v>
      </c>
      <c r="M201" s="65">
        <v>6</v>
      </c>
    </row>
    <row r="202" spans="1:13" x14ac:dyDescent="0.2">
      <c r="A202" s="65">
        <v>2018</v>
      </c>
      <c r="B202" s="65">
        <v>2018</v>
      </c>
      <c r="C202" s="65" t="s">
        <v>517</v>
      </c>
      <c r="D202" s="65" t="s">
        <v>195</v>
      </c>
      <c r="E202" s="65" t="s">
        <v>202</v>
      </c>
      <c r="F202" s="65">
        <v>5205</v>
      </c>
      <c r="G202" s="65">
        <v>65</v>
      </c>
      <c r="H202" s="65">
        <v>-44</v>
      </c>
      <c r="I202" s="65">
        <v>115</v>
      </c>
      <c r="J202" s="65">
        <v>5199</v>
      </c>
      <c r="K202" s="65">
        <v>257</v>
      </c>
      <c r="L202" s="65">
        <v>168</v>
      </c>
      <c r="M202" s="65">
        <v>0</v>
      </c>
    </row>
    <row r="203" spans="1:13" x14ac:dyDescent="0.2">
      <c r="A203" s="65">
        <v>2018</v>
      </c>
      <c r="B203" s="65">
        <v>2018</v>
      </c>
      <c r="C203" s="65" t="s">
        <v>517</v>
      </c>
      <c r="D203" s="65" t="s">
        <v>195</v>
      </c>
      <c r="E203" s="65" t="s">
        <v>203</v>
      </c>
      <c r="F203" s="65">
        <v>146118</v>
      </c>
      <c r="G203" s="65">
        <v>37545</v>
      </c>
      <c r="H203" s="65">
        <v>1899</v>
      </c>
      <c r="I203" s="65">
        <v>5175</v>
      </c>
      <c r="J203" s="65">
        <v>176590</v>
      </c>
      <c r="K203" s="65">
        <v>10152</v>
      </c>
      <c r="L203" s="65">
        <v>5587</v>
      </c>
      <c r="M203" s="65">
        <v>3355</v>
      </c>
    </row>
    <row r="204" spans="1:13" x14ac:dyDescent="0.2">
      <c r="A204" s="65">
        <v>2018</v>
      </c>
      <c r="B204" s="65">
        <v>2018</v>
      </c>
      <c r="C204" s="65" t="s">
        <v>517</v>
      </c>
      <c r="D204" s="65" t="s">
        <v>213</v>
      </c>
      <c r="E204" s="65" t="s">
        <v>206</v>
      </c>
      <c r="F204" s="65">
        <v>5638</v>
      </c>
      <c r="G204" s="65">
        <v>1512</v>
      </c>
      <c r="H204" s="65">
        <v>836</v>
      </c>
      <c r="I204" s="65">
        <v>223</v>
      </c>
      <c r="J204" s="65">
        <v>6091</v>
      </c>
      <c r="K204" s="65">
        <v>0</v>
      </c>
      <c r="L204" s="65">
        <v>0</v>
      </c>
      <c r="M204" s="65">
        <v>0</v>
      </c>
    </row>
    <row r="205" spans="1:13" x14ac:dyDescent="0.2">
      <c r="A205" s="65">
        <v>2018</v>
      </c>
      <c r="B205" s="65">
        <v>2018</v>
      </c>
      <c r="C205" s="65" t="s">
        <v>517</v>
      </c>
      <c r="D205" s="65" t="s">
        <v>213</v>
      </c>
      <c r="E205" s="65" t="s">
        <v>207</v>
      </c>
      <c r="F205" s="65">
        <v>50258</v>
      </c>
      <c r="G205" s="65">
        <v>458</v>
      </c>
      <c r="H205" s="65">
        <v>0</v>
      </c>
      <c r="I205" s="65">
        <v>4055</v>
      </c>
      <c r="J205" s="65">
        <v>46661</v>
      </c>
      <c r="K205" s="65">
        <v>177</v>
      </c>
      <c r="L205" s="65">
        <v>0</v>
      </c>
      <c r="M205" s="65">
        <v>0</v>
      </c>
    </row>
    <row r="206" spans="1:13" x14ac:dyDescent="0.2">
      <c r="A206" s="65">
        <v>2018</v>
      </c>
      <c r="B206" s="65">
        <v>2018</v>
      </c>
      <c r="C206" s="65" t="s">
        <v>517</v>
      </c>
      <c r="D206" s="65" t="s">
        <v>213</v>
      </c>
      <c r="E206" s="65" t="s">
        <v>208</v>
      </c>
      <c r="F206" s="65">
        <v>24679</v>
      </c>
      <c r="G206" s="65">
        <v>1799</v>
      </c>
      <c r="H206" s="65">
        <v>364</v>
      </c>
      <c r="I206" s="65">
        <v>832</v>
      </c>
      <c r="J206" s="65">
        <v>25080</v>
      </c>
      <c r="K206" s="65">
        <v>0</v>
      </c>
      <c r="L206" s="65">
        <v>0</v>
      </c>
      <c r="M206" s="65">
        <v>0</v>
      </c>
    </row>
    <row r="207" spans="1:13" x14ac:dyDescent="0.2">
      <c r="A207" s="65">
        <v>2018</v>
      </c>
      <c r="B207" s="65">
        <v>2018</v>
      </c>
      <c r="C207" s="65" t="s">
        <v>517</v>
      </c>
      <c r="D207" s="65" t="s">
        <v>213</v>
      </c>
      <c r="E207" s="65" t="s">
        <v>209</v>
      </c>
      <c r="F207" s="65">
        <v>6111</v>
      </c>
      <c r="G207" s="65">
        <v>801</v>
      </c>
      <c r="H207" s="65">
        <v>0</v>
      </c>
      <c r="I207" s="65">
        <v>1023</v>
      </c>
      <c r="J207" s="65">
        <v>5889</v>
      </c>
      <c r="K207" s="65">
        <v>0</v>
      </c>
      <c r="L207" s="65">
        <v>0</v>
      </c>
      <c r="M207" s="65">
        <v>0</v>
      </c>
    </row>
    <row r="208" spans="1:13" x14ac:dyDescent="0.2">
      <c r="A208" s="65">
        <v>2018</v>
      </c>
      <c r="B208" s="65">
        <v>2018</v>
      </c>
      <c r="C208" s="65" t="s">
        <v>517</v>
      </c>
      <c r="D208" s="65" t="s">
        <v>213</v>
      </c>
      <c r="E208" s="65" t="s">
        <v>214</v>
      </c>
      <c r="F208" s="65">
        <v>81986</v>
      </c>
      <c r="G208" s="65">
        <v>2739</v>
      </c>
      <c r="H208" s="65">
        <v>472</v>
      </c>
      <c r="I208" s="65">
        <v>5809</v>
      </c>
      <c r="J208" s="65">
        <v>78444</v>
      </c>
      <c r="K208" s="65">
        <v>0</v>
      </c>
      <c r="L208" s="65">
        <v>0</v>
      </c>
      <c r="M208" s="65">
        <v>0</v>
      </c>
    </row>
    <row r="209" spans="1:13" x14ac:dyDescent="0.2">
      <c r="A209" s="65">
        <v>2018</v>
      </c>
      <c r="B209" s="65">
        <v>2018</v>
      </c>
      <c r="C209" s="65" t="s">
        <v>517</v>
      </c>
      <c r="D209" s="65" t="s">
        <v>213</v>
      </c>
      <c r="E209" s="65" t="s">
        <v>211</v>
      </c>
      <c r="F209" s="65">
        <v>219814</v>
      </c>
      <c r="G209" s="65">
        <v>6693</v>
      </c>
      <c r="H209" s="65">
        <v>896</v>
      </c>
      <c r="I209" s="65">
        <v>6267</v>
      </c>
      <c r="J209" s="65">
        <v>219344</v>
      </c>
      <c r="K209" s="65">
        <v>24</v>
      </c>
      <c r="L209" s="65">
        <v>0</v>
      </c>
      <c r="M209" s="65">
        <v>1</v>
      </c>
    </row>
    <row r="210" spans="1:13" x14ac:dyDescent="0.2">
      <c r="A210" s="65">
        <v>2018</v>
      </c>
      <c r="B210" s="65">
        <v>2018</v>
      </c>
      <c r="C210" s="65" t="s">
        <v>517</v>
      </c>
      <c r="D210" s="65" t="s">
        <v>180</v>
      </c>
      <c r="E210" s="65" t="s">
        <v>181</v>
      </c>
      <c r="F210" s="65">
        <v>49218.66</v>
      </c>
      <c r="G210" s="65">
        <v>6178.31</v>
      </c>
      <c r="H210" s="65">
        <v>23</v>
      </c>
      <c r="I210" s="65">
        <v>10952.54</v>
      </c>
      <c r="J210" s="65">
        <v>44467.44</v>
      </c>
      <c r="K210" s="65">
        <v>3269.47</v>
      </c>
      <c r="L210" s="65">
        <v>0</v>
      </c>
      <c r="M210" s="65">
        <v>451.92</v>
      </c>
    </row>
    <row r="211" spans="1:13" x14ac:dyDescent="0.2">
      <c r="A211" s="65">
        <v>2018</v>
      </c>
      <c r="B211" s="65">
        <v>2018</v>
      </c>
      <c r="C211" s="65" t="s">
        <v>517</v>
      </c>
      <c r="D211" s="65" t="s">
        <v>182</v>
      </c>
      <c r="E211" s="65" t="s">
        <v>215</v>
      </c>
      <c r="F211" s="65">
        <v>7714</v>
      </c>
      <c r="G211" s="65">
        <v>1386</v>
      </c>
      <c r="H211" s="65">
        <v>502</v>
      </c>
      <c r="I211" s="65">
        <v>1283</v>
      </c>
      <c r="J211" s="65">
        <v>7315</v>
      </c>
      <c r="K211" s="65">
        <v>0</v>
      </c>
      <c r="L211" s="65">
        <v>0</v>
      </c>
      <c r="M211" s="65">
        <v>0</v>
      </c>
    </row>
    <row r="212" spans="1:13" x14ac:dyDescent="0.2">
      <c r="A212" s="65">
        <v>2018</v>
      </c>
      <c r="B212" s="65">
        <v>2018</v>
      </c>
      <c r="C212" s="65" t="s">
        <v>517</v>
      </c>
      <c r="D212" s="65" t="s">
        <v>182</v>
      </c>
      <c r="E212" s="65" t="s">
        <v>184</v>
      </c>
      <c r="F212" s="65">
        <v>2434</v>
      </c>
      <c r="G212" s="65">
        <v>87</v>
      </c>
      <c r="H212" s="65">
        <v>97</v>
      </c>
      <c r="I212" s="65">
        <v>22</v>
      </c>
      <c r="J212" s="65">
        <v>2401</v>
      </c>
      <c r="K212" s="65">
        <v>0</v>
      </c>
      <c r="L212" s="65">
        <v>0</v>
      </c>
      <c r="M212" s="65">
        <v>0</v>
      </c>
    </row>
    <row r="213" spans="1:13" x14ac:dyDescent="0.2">
      <c r="A213" s="65">
        <v>2018</v>
      </c>
      <c r="B213" s="65">
        <v>2018</v>
      </c>
      <c r="C213" s="65" t="s">
        <v>517</v>
      </c>
      <c r="D213" s="65" t="s">
        <v>182</v>
      </c>
      <c r="E213" s="65" t="s">
        <v>216</v>
      </c>
      <c r="F213" s="65">
        <v>8797</v>
      </c>
      <c r="G213" s="65">
        <v>250</v>
      </c>
      <c r="H213" s="65">
        <v>649</v>
      </c>
      <c r="I213" s="65">
        <v>34</v>
      </c>
      <c r="J213" s="65">
        <v>8365</v>
      </c>
      <c r="K213" s="65">
        <v>0</v>
      </c>
      <c r="L213" s="65">
        <v>0</v>
      </c>
      <c r="M213" s="65">
        <v>0</v>
      </c>
    </row>
    <row r="214" spans="1:13" x14ac:dyDescent="0.2">
      <c r="A214" s="65">
        <v>2018</v>
      </c>
      <c r="B214" s="65">
        <v>2018</v>
      </c>
      <c r="C214" s="65" t="s">
        <v>517</v>
      </c>
      <c r="D214" s="65" t="s">
        <v>182</v>
      </c>
      <c r="E214" s="65" t="s">
        <v>186</v>
      </c>
      <c r="F214" s="65">
        <v>18047</v>
      </c>
      <c r="G214" s="65">
        <v>1054</v>
      </c>
      <c r="H214" s="65">
        <v>1995</v>
      </c>
      <c r="I214" s="65">
        <v>932</v>
      </c>
      <c r="J214" s="65">
        <v>16172</v>
      </c>
      <c r="K214" s="65">
        <v>0</v>
      </c>
      <c r="L214" s="65">
        <v>0</v>
      </c>
      <c r="M214" s="65">
        <v>309</v>
      </c>
    </row>
    <row r="215" spans="1:13" x14ac:dyDescent="0.2">
      <c r="A215" s="65">
        <v>2018</v>
      </c>
      <c r="B215" s="65">
        <v>2018</v>
      </c>
      <c r="C215" s="65" t="s">
        <v>517</v>
      </c>
      <c r="D215" s="65" t="s">
        <v>187</v>
      </c>
      <c r="E215" s="65" t="s">
        <v>188</v>
      </c>
      <c r="F215" s="65">
        <v>13569</v>
      </c>
      <c r="G215" s="65">
        <v>107</v>
      </c>
      <c r="H215" s="65">
        <v>29</v>
      </c>
      <c r="I215" s="65">
        <v>240</v>
      </c>
      <c r="J215" s="65">
        <v>13407</v>
      </c>
      <c r="K215" s="65">
        <v>0</v>
      </c>
      <c r="L215" s="65">
        <v>1228</v>
      </c>
      <c r="M215" s="65">
        <v>0</v>
      </c>
    </row>
    <row r="216" spans="1:13" x14ac:dyDescent="0.2">
      <c r="A216" s="65">
        <v>2018</v>
      </c>
      <c r="B216" s="65">
        <v>2018</v>
      </c>
      <c r="C216" s="65" t="s">
        <v>517</v>
      </c>
      <c r="D216" s="65" t="s">
        <v>187</v>
      </c>
      <c r="E216" s="65" t="s">
        <v>189</v>
      </c>
      <c r="F216" s="65">
        <v>256030</v>
      </c>
      <c r="G216" s="65">
        <v>810</v>
      </c>
      <c r="H216" s="65">
        <v>152</v>
      </c>
      <c r="I216" s="65">
        <v>835</v>
      </c>
      <c r="J216" s="65">
        <v>255853</v>
      </c>
      <c r="K216" s="65">
        <v>42386</v>
      </c>
      <c r="L216" s="65">
        <v>0</v>
      </c>
      <c r="M216" s="65">
        <v>245</v>
      </c>
    </row>
    <row r="217" spans="1:13" x14ac:dyDescent="0.2">
      <c r="A217" s="65">
        <v>2018</v>
      </c>
      <c r="B217" s="65">
        <v>2018</v>
      </c>
      <c r="C217" s="65" t="s">
        <v>517</v>
      </c>
      <c r="D217" s="65" t="s">
        <v>190</v>
      </c>
      <c r="E217" s="65" t="s">
        <v>191</v>
      </c>
      <c r="F217" s="65">
        <v>409416</v>
      </c>
      <c r="G217" s="65">
        <v>18570</v>
      </c>
      <c r="H217" s="65">
        <v>10388</v>
      </c>
      <c r="I217" s="65">
        <v>4908</v>
      </c>
      <c r="J217" s="65">
        <v>412689</v>
      </c>
      <c r="K217" s="65">
        <v>5932</v>
      </c>
      <c r="L217" s="65">
        <v>1935</v>
      </c>
      <c r="M217" s="65">
        <v>10059</v>
      </c>
    </row>
    <row r="218" spans="1:13" x14ac:dyDescent="0.2">
      <c r="A218" s="65">
        <v>2018</v>
      </c>
      <c r="B218" s="65">
        <v>2018</v>
      </c>
      <c r="C218" s="65" t="s">
        <v>517</v>
      </c>
      <c r="D218" s="65" t="s">
        <v>190</v>
      </c>
      <c r="E218" s="65" t="s">
        <v>192</v>
      </c>
      <c r="F218" s="65">
        <v>34070</v>
      </c>
      <c r="G218" s="65">
        <v>5812</v>
      </c>
      <c r="H218" s="65">
        <v>2584</v>
      </c>
      <c r="I218" s="65">
        <v>1948</v>
      </c>
      <c r="J218" s="65">
        <v>35351</v>
      </c>
      <c r="K218" s="65">
        <v>6175</v>
      </c>
      <c r="L218" s="65">
        <v>1490</v>
      </c>
      <c r="M218" s="65">
        <v>85</v>
      </c>
    </row>
    <row r="219" spans="1:13" x14ac:dyDescent="0.2">
      <c r="A219" s="65">
        <v>2018</v>
      </c>
      <c r="B219" s="65">
        <v>2018</v>
      </c>
      <c r="C219" s="65" t="s">
        <v>517</v>
      </c>
      <c r="D219" s="65" t="s">
        <v>193</v>
      </c>
      <c r="E219" s="65" t="s">
        <v>194</v>
      </c>
      <c r="F219" s="65">
        <v>155597</v>
      </c>
      <c r="G219" s="65">
        <v>11290</v>
      </c>
      <c r="H219" s="65">
        <v>-1345</v>
      </c>
      <c r="I219" s="65">
        <v>29755</v>
      </c>
      <c r="J219" s="65">
        <v>138475</v>
      </c>
      <c r="K219" s="65">
        <v>20118</v>
      </c>
      <c r="L219" s="65">
        <v>4601</v>
      </c>
      <c r="M219" s="65">
        <v>12349</v>
      </c>
    </row>
    <row r="220" spans="1:13" x14ac:dyDescent="0.2">
      <c r="A220" s="65" t="s">
        <v>735</v>
      </c>
      <c r="B220" s="65">
        <v>2050</v>
      </c>
      <c r="C220" s="65" t="s">
        <v>517</v>
      </c>
      <c r="D220" s="65" t="s">
        <v>195</v>
      </c>
      <c r="E220" s="65" t="s">
        <v>196</v>
      </c>
      <c r="F220" s="65">
        <v>7601.9269836152616</v>
      </c>
      <c r="G220" s="65">
        <v>7012.9460345447205</v>
      </c>
      <c r="H220" s="65">
        <v>651.6384968440035</v>
      </c>
      <c r="I220" s="65">
        <v>432.33707963688693</v>
      </c>
      <c r="J220" s="65">
        <v>13529.331002984754</v>
      </c>
      <c r="K220" s="65">
        <v>8234.768216127226</v>
      </c>
      <c r="L220" s="65">
        <v>316.42061625598245</v>
      </c>
      <c r="M220" s="65">
        <v>0</v>
      </c>
    </row>
    <row r="221" spans="1:13" x14ac:dyDescent="0.2">
      <c r="A221" s="65" t="s">
        <v>735</v>
      </c>
      <c r="B221" s="65">
        <v>2050</v>
      </c>
      <c r="C221" s="65" t="s">
        <v>517</v>
      </c>
      <c r="D221" s="65" t="s">
        <v>195</v>
      </c>
      <c r="E221" s="65" t="s">
        <v>197</v>
      </c>
      <c r="F221" s="65">
        <v>146117.40140771298</v>
      </c>
      <c r="G221" s="65">
        <v>46117.521599962245</v>
      </c>
      <c r="H221" s="65">
        <v>6015.1245862523356</v>
      </c>
      <c r="I221" s="65">
        <v>4617.8612709041372</v>
      </c>
      <c r="J221" s="65">
        <v>181603.50358921307</v>
      </c>
      <c r="K221" s="65">
        <v>87142.551004636378</v>
      </c>
      <c r="L221" s="65">
        <v>2078.6641473845962</v>
      </c>
      <c r="M221" s="65">
        <v>35960.733105884079</v>
      </c>
    </row>
    <row r="222" spans="1:13" x14ac:dyDescent="0.2">
      <c r="A222" s="65" t="s">
        <v>735</v>
      </c>
      <c r="B222" s="65">
        <v>2050</v>
      </c>
      <c r="C222" s="65" t="s">
        <v>517</v>
      </c>
      <c r="D222" s="65" t="s">
        <v>195</v>
      </c>
      <c r="E222" s="65" t="s">
        <v>198</v>
      </c>
      <c r="F222" s="65">
        <v>19619.644646565241</v>
      </c>
      <c r="G222" s="65">
        <v>169.17537898834698</v>
      </c>
      <c r="H222" s="65">
        <v>794.1844180286289</v>
      </c>
      <c r="I222" s="65">
        <v>128.44797293559679</v>
      </c>
      <c r="J222" s="65">
        <v>18866.187634589362</v>
      </c>
      <c r="K222" s="65">
        <v>812.98168236066749</v>
      </c>
      <c r="L222" s="65">
        <v>438.60283441423292</v>
      </c>
      <c r="M222" s="65">
        <v>0</v>
      </c>
    </row>
    <row r="223" spans="1:13" x14ac:dyDescent="0.2">
      <c r="A223" s="65" t="s">
        <v>735</v>
      </c>
      <c r="B223" s="65">
        <v>2050</v>
      </c>
      <c r="C223" s="65" t="s">
        <v>517</v>
      </c>
      <c r="D223" s="65" t="s">
        <v>195</v>
      </c>
      <c r="E223" s="65" t="s">
        <v>199</v>
      </c>
      <c r="F223" s="65">
        <v>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</row>
    <row r="224" spans="1:13" x14ac:dyDescent="0.2">
      <c r="A224" s="65" t="s">
        <v>735</v>
      </c>
      <c r="B224" s="65">
        <v>2050</v>
      </c>
      <c r="C224" s="65" t="s">
        <v>517</v>
      </c>
      <c r="D224" s="65" t="s">
        <v>195</v>
      </c>
      <c r="E224" s="65" t="s">
        <v>212</v>
      </c>
      <c r="F224" s="65">
        <v>791.05154063995587</v>
      </c>
      <c r="G224" s="65">
        <v>140.97948249028917</v>
      </c>
      <c r="H224" s="65">
        <v>34.461651275404016</v>
      </c>
      <c r="I224" s="65">
        <v>579.58231690452214</v>
      </c>
      <c r="J224" s="65">
        <v>317.98705495031891</v>
      </c>
      <c r="K224" s="65">
        <v>98.68563774320242</v>
      </c>
      <c r="L224" s="65">
        <v>12.53150955469237</v>
      </c>
      <c r="M224" s="65">
        <v>1.5664386943365463</v>
      </c>
    </row>
    <row r="225" spans="1:13" x14ac:dyDescent="0.2">
      <c r="A225" s="65" t="s">
        <v>735</v>
      </c>
      <c r="B225" s="65">
        <v>2050</v>
      </c>
      <c r="C225" s="65" t="s">
        <v>517</v>
      </c>
      <c r="D225" s="65" t="s">
        <v>195</v>
      </c>
      <c r="E225" s="65" t="s">
        <v>200</v>
      </c>
      <c r="F225" s="65">
        <v>737357.15507548768</v>
      </c>
      <c r="G225" s="65">
        <v>21184.516902207448</v>
      </c>
      <c r="H225" s="65">
        <v>47781.079493347672</v>
      </c>
      <c r="I225" s="65">
        <v>80330.109122966765</v>
      </c>
      <c r="J225" s="65">
        <v>630428.91692268639</v>
      </c>
      <c r="K225" s="65">
        <v>37082.303211029059</v>
      </c>
      <c r="L225" s="65">
        <v>14715.125094597515</v>
      </c>
      <c r="M225" s="65">
        <v>50104.108077048761</v>
      </c>
    </row>
    <row r="226" spans="1:13" x14ac:dyDescent="0.2">
      <c r="A226" s="65" t="s">
        <v>735</v>
      </c>
      <c r="B226" s="65">
        <v>2050</v>
      </c>
      <c r="C226" s="65" t="s">
        <v>517</v>
      </c>
      <c r="D226" s="65" t="s">
        <v>195</v>
      </c>
      <c r="E226" s="65" t="s">
        <v>201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</row>
    <row r="227" spans="1:13" x14ac:dyDescent="0.2">
      <c r="A227" s="65" t="s">
        <v>735</v>
      </c>
      <c r="B227" s="65">
        <v>2050</v>
      </c>
      <c r="C227" s="65" t="s">
        <v>517</v>
      </c>
      <c r="D227" s="65" t="s">
        <v>195</v>
      </c>
      <c r="E227" s="65" t="s">
        <v>202</v>
      </c>
      <c r="F227" s="65">
        <v>8153.313404021721</v>
      </c>
      <c r="G227" s="65">
        <v>101.81851513187547</v>
      </c>
      <c r="H227" s="65">
        <v>-68.923302550808017</v>
      </c>
      <c r="I227" s="65">
        <v>180.14044984870276</v>
      </c>
      <c r="J227" s="65">
        <v>8143.9147718557015</v>
      </c>
      <c r="K227" s="65">
        <v>402.57474444449224</v>
      </c>
      <c r="L227" s="65">
        <v>263.16170064853969</v>
      </c>
      <c r="M227" s="65">
        <v>0</v>
      </c>
    </row>
    <row r="228" spans="1:13" x14ac:dyDescent="0.2">
      <c r="A228" s="65" t="s">
        <v>735</v>
      </c>
      <c r="B228" s="65">
        <v>2050</v>
      </c>
      <c r="C228" s="65" t="s">
        <v>517</v>
      </c>
      <c r="D228" s="65" t="s">
        <v>195</v>
      </c>
      <c r="E228" s="65" t="s">
        <v>203</v>
      </c>
      <c r="F228" s="65">
        <v>228884.88913906738</v>
      </c>
      <c r="G228" s="65">
        <v>58811.94077886561</v>
      </c>
      <c r="H228" s="65">
        <v>2974.6670805451004</v>
      </c>
      <c r="I228" s="65">
        <v>8106.3202431916234</v>
      </c>
      <c r="J228" s="65">
        <v>276617.40903289057</v>
      </c>
      <c r="K228" s="65">
        <v>15902.485624904612</v>
      </c>
      <c r="L228" s="65">
        <v>8751.6929852582798</v>
      </c>
      <c r="M228" s="65">
        <v>5255.4018194991113</v>
      </c>
    </row>
    <row r="229" spans="1:13" x14ac:dyDescent="0.2">
      <c r="A229" s="65" t="s">
        <v>735</v>
      </c>
      <c r="B229" s="65">
        <v>2050</v>
      </c>
      <c r="C229" s="65" t="s">
        <v>517</v>
      </c>
      <c r="D229" s="65" t="s">
        <v>213</v>
      </c>
      <c r="E229" s="65" t="s">
        <v>206</v>
      </c>
      <c r="F229" s="65">
        <v>9149.6437939792613</v>
      </c>
      <c r="G229" s="65">
        <v>2453.7533551785464</v>
      </c>
      <c r="H229" s="65">
        <v>1356.7048974399897</v>
      </c>
      <c r="I229" s="65">
        <v>361.89616283387284</v>
      </c>
      <c r="J229" s="65">
        <v>9884.7960888839443</v>
      </c>
      <c r="K229" s="65">
        <v>0</v>
      </c>
      <c r="L229" s="65">
        <v>0</v>
      </c>
      <c r="M229" s="65">
        <v>0</v>
      </c>
    </row>
    <row r="230" spans="1:13" x14ac:dyDescent="0.2">
      <c r="A230" s="65" t="s">
        <v>735</v>
      </c>
      <c r="B230" s="65">
        <v>2050</v>
      </c>
      <c r="C230" s="65" t="s">
        <v>517</v>
      </c>
      <c r="D230" s="65" t="s">
        <v>213</v>
      </c>
      <c r="E230" s="65" t="s">
        <v>207</v>
      </c>
      <c r="F230" s="65">
        <v>78381.249264083759</v>
      </c>
      <c r="G230" s="65">
        <v>714.28652479108518</v>
      </c>
      <c r="H230" s="65">
        <v>0</v>
      </c>
      <c r="I230" s="65">
        <v>6324.0870262616827</v>
      </c>
      <c r="J230" s="65">
        <v>72771.448762613159</v>
      </c>
      <c r="K230" s="65">
        <v>276.04522901314863</v>
      </c>
      <c r="L230" s="65">
        <v>0</v>
      </c>
      <c r="M230" s="65">
        <v>0</v>
      </c>
    </row>
    <row r="231" spans="1:13" x14ac:dyDescent="0.2">
      <c r="A231" s="65" t="s">
        <v>735</v>
      </c>
      <c r="B231" s="65">
        <v>2050</v>
      </c>
      <c r="C231" s="65" t="s">
        <v>517</v>
      </c>
      <c r="D231" s="65" t="s">
        <v>213</v>
      </c>
      <c r="E231" s="65" t="s">
        <v>208</v>
      </c>
      <c r="F231" s="65">
        <v>39078.500370607871</v>
      </c>
      <c r="G231" s="65">
        <v>2848.665754962663</v>
      </c>
      <c r="H231" s="65">
        <v>576.3837325216283</v>
      </c>
      <c r="I231" s="65">
        <v>1317.4485314780077</v>
      </c>
      <c r="J231" s="65">
        <v>39713.472559457245</v>
      </c>
      <c r="K231" s="65">
        <v>0</v>
      </c>
      <c r="L231" s="65">
        <v>0</v>
      </c>
      <c r="M231" s="65">
        <v>0</v>
      </c>
    </row>
    <row r="232" spans="1:13" x14ac:dyDescent="0.2">
      <c r="A232" s="65" t="s">
        <v>735</v>
      </c>
      <c r="B232" s="65">
        <v>2050</v>
      </c>
      <c r="C232" s="65" t="s">
        <v>517</v>
      </c>
      <c r="D232" s="65" t="s">
        <v>213</v>
      </c>
      <c r="E232" s="65" t="s">
        <v>209</v>
      </c>
      <c r="F232" s="65">
        <v>9898.2895809082893</v>
      </c>
      <c r="G232" s="65">
        <v>1297.4194001485093</v>
      </c>
      <c r="H232" s="65">
        <v>0</v>
      </c>
      <c r="I232" s="65">
        <v>1657.0038031859237</v>
      </c>
      <c r="J232" s="65">
        <v>9538.7051778708737</v>
      </c>
      <c r="K232" s="65">
        <v>0</v>
      </c>
      <c r="L232" s="65">
        <v>0</v>
      </c>
      <c r="M232" s="65">
        <v>0</v>
      </c>
    </row>
    <row r="233" spans="1:13" x14ac:dyDescent="0.2">
      <c r="A233" s="65" t="s">
        <v>735</v>
      </c>
      <c r="B233" s="65">
        <v>2050</v>
      </c>
      <c r="C233" s="65" t="s">
        <v>517</v>
      </c>
      <c r="D233" s="65" t="s">
        <v>213</v>
      </c>
      <c r="E233" s="65" t="s">
        <v>214</v>
      </c>
      <c r="F233" s="65">
        <v>128635.85583769977</v>
      </c>
      <c r="G233" s="65">
        <v>4297.4850479284232</v>
      </c>
      <c r="H233" s="65">
        <v>740.5669743052996</v>
      </c>
      <c r="I233" s="65">
        <v>9114.308376566707</v>
      </c>
      <c r="J233" s="65">
        <v>123078.46553475619</v>
      </c>
      <c r="K233" s="65">
        <v>0</v>
      </c>
      <c r="L233" s="65">
        <v>0</v>
      </c>
      <c r="M233" s="65">
        <v>0</v>
      </c>
    </row>
    <row r="234" spans="1:13" x14ac:dyDescent="0.2">
      <c r="A234" s="65" t="s">
        <v>735</v>
      </c>
      <c r="B234" s="65">
        <v>2050</v>
      </c>
      <c r="C234" s="65" t="s">
        <v>517</v>
      </c>
      <c r="D234" s="65" t="s">
        <v>213</v>
      </c>
      <c r="E234" s="65" t="s">
        <v>211</v>
      </c>
      <c r="F234" s="65">
        <v>348186.00505696307</v>
      </c>
      <c r="G234" s="65">
        <v>10601.731153822113</v>
      </c>
      <c r="H234" s="65">
        <v>1419.2665641453179</v>
      </c>
      <c r="I234" s="65">
        <v>9926.9459347083794</v>
      </c>
      <c r="J234" s="65">
        <v>347441.52371193148</v>
      </c>
      <c r="K234" s="65">
        <v>38.016068682463874</v>
      </c>
      <c r="L234" s="65">
        <v>0</v>
      </c>
      <c r="M234" s="65">
        <v>1.584002861769328</v>
      </c>
    </row>
    <row r="235" spans="1:13" x14ac:dyDescent="0.2">
      <c r="A235" s="65" t="s">
        <v>735</v>
      </c>
      <c r="B235" s="65">
        <v>2050</v>
      </c>
      <c r="C235" s="65" t="s">
        <v>517</v>
      </c>
      <c r="D235" s="65" t="s">
        <v>180</v>
      </c>
      <c r="E235" s="65" t="s">
        <v>181</v>
      </c>
      <c r="F235" s="136">
        <v>151035.42319992499</v>
      </c>
      <c r="G235" s="136">
        <v>18959.144062644707</v>
      </c>
      <c r="H235" s="136">
        <v>70.579222059240834</v>
      </c>
      <c r="I235" s="136">
        <v>33609.641424900765</v>
      </c>
      <c r="J235" s="136">
        <v>136455.53574634646</v>
      </c>
      <c r="K235" s="136">
        <v>10032.897788957656</v>
      </c>
      <c r="L235" s="136">
        <v>0</v>
      </c>
      <c r="M235" s="136">
        <v>1386.7896536092226</v>
      </c>
    </row>
    <row r="236" spans="1:13" x14ac:dyDescent="0.2">
      <c r="A236" s="65" t="s">
        <v>735</v>
      </c>
      <c r="B236" s="65">
        <v>2050</v>
      </c>
      <c r="C236" s="65" t="s">
        <v>517</v>
      </c>
      <c r="D236" s="65" t="s">
        <v>182</v>
      </c>
      <c r="E236" s="65" t="s">
        <v>215</v>
      </c>
      <c r="F236" s="65">
        <v>21085.468416291602</v>
      </c>
      <c r="G236" s="65">
        <v>3788.496140132248</v>
      </c>
      <c r="H236" s="65">
        <v>1372.168154651074</v>
      </c>
      <c r="I236" s="65">
        <v>3506.9556621859119</v>
      </c>
      <c r="J236" s="65">
        <v>19994.840739586863</v>
      </c>
      <c r="K236" s="65">
        <v>0</v>
      </c>
      <c r="L236" s="65">
        <v>0</v>
      </c>
      <c r="M236" s="65">
        <v>0</v>
      </c>
    </row>
    <row r="237" spans="1:13" x14ac:dyDescent="0.2">
      <c r="A237" s="65" t="s">
        <v>735</v>
      </c>
      <c r="B237" s="65">
        <v>2050</v>
      </c>
      <c r="C237" s="65" t="s">
        <v>517</v>
      </c>
      <c r="D237" s="65" t="s">
        <v>182</v>
      </c>
      <c r="E237" s="65" t="s">
        <v>184</v>
      </c>
      <c r="F237" s="65">
        <v>6822.1975070806066</v>
      </c>
      <c r="G237" s="65">
        <v>243.85011631717865</v>
      </c>
      <c r="H237" s="65">
        <v>271.87886531915319</v>
      </c>
      <c r="I237" s="65">
        <v>61.663247804344024</v>
      </c>
      <c r="J237" s="65">
        <v>6729.7026353740912</v>
      </c>
      <c r="K237" s="65">
        <v>0</v>
      </c>
      <c r="L237" s="65">
        <v>0</v>
      </c>
      <c r="M237" s="65">
        <v>0</v>
      </c>
    </row>
    <row r="238" spans="1:13" x14ac:dyDescent="0.2">
      <c r="A238" s="65" t="s">
        <v>735</v>
      </c>
      <c r="B238" s="65">
        <v>2050</v>
      </c>
      <c r="C238" s="65" t="s">
        <v>517</v>
      </c>
      <c r="D238" s="65" t="s">
        <v>182</v>
      </c>
      <c r="E238" s="65" t="s">
        <v>216</v>
      </c>
      <c r="F238" s="65">
        <v>21181.175435844631</v>
      </c>
      <c r="G238" s="65">
        <v>601.94314640913467</v>
      </c>
      <c r="H238" s="65">
        <v>1562.6444080781134</v>
      </c>
      <c r="I238" s="65">
        <v>81.864267911642315</v>
      </c>
      <c r="J238" s="65">
        <v>20141.017678849646</v>
      </c>
      <c r="K238" s="65">
        <v>0</v>
      </c>
      <c r="L238" s="65">
        <v>0</v>
      </c>
      <c r="M238" s="65">
        <v>0</v>
      </c>
    </row>
    <row r="239" spans="1:13" x14ac:dyDescent="0.2">
      <c r="A239" s="65" t="s">
        <v>735</v>
      </c>
      <c r="B239" s="65">
        <v>2050</v>
      </c>
      <c r="C239" s="65" t="s">
        <v>517</v>
      </c>
      <c r="D239" s="65" t="s">
        <v>182</v>
      </c>
      <c r="E239" s="65" t="s">
        <v>186</v>
      </c>
      <c r="F239" s="65">
        <v>46793.173958970336</v>
      </c>
      <c r="G239" s="65">
        <v>2732.8644845544818</v>
      </c>
      <c r="H239" s="65">
        <v>5172.7368564385124</v>
      </c>
      <c r="I239" s="65">
        <v>2416.5367168925777</v>
      </c>
      <c r="J239" s="65">
        <v>41931.579169084522</v>
      </c>
      <c r="K239" s="65">
        <v>0</v>
      </c>
      <c r="L239" s="65">
        <v>0</v>
      </c>
      <c r="M239" s="65">
        <v>801.1908213731831</v>
      </c>
    </row>
    <row r="240" spans="1:13" x14ac:dyDescent="0.2">
      <c r="A240" s="65" t="s">
        <v>735</v>
      </c>
      <c r="B240" s="65">
        <v>2050</v>
      </c>
      <c r="C240" s="65" t="s">
        <v>517</v>
      </c>
      <c r="D240" s="65" t="s">
        <v>187</v>
      </c>
      <c r="E240" s="65" t="s">
        <v>188</v>
      </c>
      <c r="F240" s="65">
        <v>36087.631468230764</v>
      </c>
      <c r="G240" s="65">
        <v>284.57340755403436</v>
      </c>
      <c r="H240" s="65">
        <v>77.127372140813037</v>
      </c>
      <c r="I240" s="65">
        <v>638.29549357914243</v>
      </c>
      <c r="J240" s="65">
        <v>35656.782010064839</v>
      </c>
      <c r="K240" s="65">
        <v>0</v>
      </c>
      <c r="L240" s="65">
        <v>3265.9452754799454</v>
      </c>
      <c r="M240" s="65">
        <v>0</v>
      </c>
    </row>
    <row r="241" spans="1:13" x14ac:dyDescent="0.2">
      <c r="A241" s="65" t="s">
        <v>735</v>
      </c>
      <c r="B241" s="65">
        <v>2050</v>
      </c>
      <c r="C241" s="65" t="s">
        <v>517</v>
      </c>
      <c r="D241" s="65" t="s">
        <v>187</v>
      </c>
      <c r="E241" s="65" t="s">
        <v>189</v>
      </c>
      <c r="F241" s="65">
        <v>499160.76266550523</v>
      </c>
      <c r="G241" s="65">
        <v>1579.1907892007157</v>
      </c>
      <c r="H241" s="65">
        <v>296.34197525741826</v>
      </c>
      <c r="I241" s="65">
        <v>1627.9312456575278</v>
      </c>
      <c r="J241" s="65">
        <v>498815.680233791</v>
      </c>
      <c r="K241" s="65">
        <v>82636.519495137705</v>
      </c>
      <c r="L241" s="65">
        <v>0</v>
      </c>
      <c r="M241" s="65">
        <v>477.6564732767597</v>
      </c>
    </row>
    <row r="242" spans="1:13" x14ac:dyDescent="0.2">
      <c r="A242" s="65" t="s">
        <v>735</v>
      </c>
      <c r="B242" s="65">
        <v>2050</v>
      </c>
      <c r="C242" s="65" t="s">
        <v>517</v>
      </c>
      <c r="D242" s="65" t="s">
        <v>190</v>
      </c>
      <c r="E242" s="65" t="s">
        <v>191</v>
      </c>
      <c r="F242" s="65">
        <v>629918.05547910579</v>
      </c>
      <c r="G242" s="65">
        <v>28571.37554528156</v>
      </c>
      <c r="H242" s="65">
        <v>15982.738242562456</v>
      </c>
      <c r="I242" s="65">
        <v>7551.3360891891161</v>
      </c>
      <c r="J242" s="65">
        <v>634953.8181156005</v>
      </c>
      <c r="K242" s="65">
        <v>9126.8389733231124</v>
      </c>
      <c r="L242" s="65">
        <v>2977.1465632805503</v>
      </c>
      <c r="M242" s="65">
        <v>15476.546397953</v>
      </c>
    </row>
    <row r="243" spans="1:13" x14ac:dyDescent="0.2">
      <c r="A243" s="65" t="s">
        <v>735</v>
      </c>
      <c r="B243" s="65">
        <v>2050</v>
      </c>
      <c r="C243" s="65" t="s">
        <v>517</v>
      </c>
      <c r="D243" s="65" t="s">
        <v>190</v>
      </c>
      <c r="E243" s="65" t="s">
        <v>192</v>
      </c>
      <c r="F243" s="65">
        <v>54622.706727812052</v>
      </c>
      <c r="G243" s="65">
        <v>9318.0854564732508</v>
      </c>
      <c r="H243" s="65">
        <v>4142.7964245572748</v>
      </c>
      <c r="I243" s="65">
        <v>3123.1298123210413</v>
      </c>
      <c r="J243" s="65">
        <v>56676.46919679729</v>
      </c>
      <c r="K243" s="65">
        <v>9900.0649851552516</v>
      </c>
      <c r="L243" s="65">
        <v>2388.8415915597288</v>
      </c>
      <c r="M243" s="65">
        <v>136.27619817622613</v>
      </c>
    </row>
    <row r="244" spans="1:13" x14ac:dyDescent="0.2">
      <c r="A244" s="65" t="s">
        <v>735</v>
      </c>
      <c r="B244" s="65">
        <v>2050</v>
      </c>
      <c r="C244" s="65" t="s">
        <v>517</v>
      </c>
      <c r="D244" s="65" t="s">
        <v>193</v>
      </c>
      <c r="E244" s="65" t="s">
        <v>194</v>
      </c>
      <c r="F244" s="65">
        <v>244946.2379670667</v>
      </c>
      <c r="G244" s="65">
        <v>17773.112763409212</v>
      </c>
      <c r="H244" s="65">
        <v>-2117.3460289446757</v>
      </c>
      <c r="I244" s="65">
        <v>46841.361406132957</v>
      </c>
      <c r="J244" s="65">
        <v>217992.18688335613</v>
      </c>
      <c r="K244" s="65">
        <v>31670.459041121925</v>
      </c>
      <c r="L244" s="65">
        <v>7243.0550774531257</v>
      </c>
      <c r="M244" s="65">
        <v>19440.227592147065</v>
      </c>
    </row>
    <row r="245" spans="1:13" x14ac:dyDescent="0.2">
      <c r="A245" s="65" t="s">
        <v>552</v>
      </c>
      <c r="B245" s="65">
        <v>2050</v>
      </c>
      <c r="C245" s="65" t="s">
        <v>517</v>
      </c>
      <c r="D245" s="65" t="s">
        <v>195</v>
      </c>
      <c r="E245" s="65" t="s">
        <v>196</v>
      </c>
      <c r="F245" s="65">
        <v>7203</v>
      </c>
      <c r="G245" s="65">
        <v>6644.9270554296309</v>
      </c>
      <c r="H245" s="65">
        <v>617.44240675870594</v>
      </c>
      <c r="I245" s="65">
        <v>409.64928909952607</v>
      </c>
      <c r="J245" s="65">
        <v>12819.351123016691</v>
      </c>
      <c r="K245" s="65">
        <v>7802.6315681022052</v>
      </c>
      <c r="L245" s="65">
        <v>299.81578405110241</v>
      </c>
      <c r="M245" s="65">
        <v>0</v>
      </c>
    </row>
    <row r="246" spans="1:13" x14ac:dyDescent="0.2">
      <c r="A246" s="65" t="s">
        <v>552</v>
      </c>
      <c r="B246" s="65">
        <v>2050</v>
      </c>
      <c r="C246" s="65" t="s">
        <v>517</v>
      </c>
      <c r="D246" s="65" t="s">
        <v>195</v>
      </c>
      <c r="E246" s="65" t="s">
        <v>197</v>
      </c>
      <c r="F246" s="65">
        <v>127668</v>
      </c>
      <c r="G246" s="65">
        <v>40294.528173241852</v>
      </c>
      <c r="H246" s="65">
        <v>5255.6295025728987</v>
      </c>
      <c r="I246" s="65">
        <v>4034.790566037736</v>
      </c>
      <c r="J246" s="65">
        <v>158673.47675814753</v>
      </c>
      <c r="K246" s="65">
        <v>76139.563765008585</v>
      </c>
      <c r="L246" s="65">
        <v>1816.2032161234993</v>
      </c>
      <c r="M246" s="65">
        <v>31420.178773584907</v>
      </c>
    </row>
    <row r="247" spans="1:13" x14ac:dyDescent="0.2">
      <c r="A247" s="65" t="s">
        <v>552</v>
      </c>
      <c r="B247" s="65">
        <v>2050</v>
      </c>
      <c r="C247" s="65" t="s">
        <v>517</v>
      </c>
      <c r="D247" s="65" t="s">
        <v>195</v>
      </c>
      <c r="E247" s="65" t="s">
        <v>198</v>
      </c>
      <c r="F247" s="65">
        <v>18333</v>
      </c>
      <c r="G247" s="65">
        <v>158.08095808383234</v>
      </c>
      <c r="H247" s="65">
        <v>742.10227544910185</v>
      </c>
      <c r="I247" s="65">
        <v>120.02443113772455</v>
      </c>
      <c r="J247" s="65">
        <v>17628.954251497005</v>
      </c>
      <c r="K247" s="65">
        <v>759.66682634730535</v>
      </c>
      <c r="L247" s="65">
        <v>409.83952095808382</v>
      </c>
      <c r="M247" s="65">
        <v>0</v>
      </c>
    </row>
    <row r="248" spans="1:13" x14ac:dyDescent="0.2">
      <c r="A248" s="65" t="s">
        <v>552</v>
      </c>
      <c r="B248" s="65">
        <v>2050</v>
      </c>
      <c r="C248" s="65" t="s">
        <v>517</v>
      </c>
      <c r="D248" s="65" t="s">
        <v>195</v>
      </c>
      <c r="E248" s="65" t="s">
        <v>199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</row>
    <row r="249" spans="1:13" x14ac:dyDescent="0.2">
      <c r="A249" s="65" t="s">
        <v>552</v>
      </c>
      <c r="B249" s="65">
        <v>2050</v>
      </c>
      <c r="C249" s="65" t="s">
        <v>517</v>
      </c>
      <c r="D249" s="65" t="s">
        <v>195</v>
      </c>
      <c r="E249" s="65" t="s">
        <v>212</v>
      </c>
      <c r="F249" s="65">
        <v>397</v>
      </c>
      <c r="G249" s="65">
        <v>70.752475247524757</v>
      </c>
      <c r="H249" s="65">
        <v>17.295049504950494</v>
      </c>
      <c r="I249" s="65">
        <v>290.87128712871288</v>
      </c>
      <c r="J249" s="65">
        <v>159.58613861386138</v>
      </c>
      <c r="K249" s="65">
        <v>49.526732673267325</v>
      </c>
      <c r="L249" s="65">
        <v>6.2891089108910894</v>
      </c>
      <c r="M249" s="65">
        <v>0.78613861386138617</v>
      </c>
    </row>
    <row r="250" spans="1:13" x14ac:dyDescent="0.2">
      <c r="A250" s="65" t="s">
        <v>552</v>
      </c>
      <c r="B250" s="65">
        <v>2050</v>
      </c>
      <c r="C250" s="65" t="s">
        <v>517</v>
      </c>
      <c r="D250" s="65" t="s">
        <v>195</v>
      </c>
      <c r="E250" s="65" t="s">
        <v>200</v>
      </c>
      <c r="F250" s="65">
        <v>620259</v>
      </c>
      <c r="G250" s="65">
        <v>17820.247866044076</v>
      </c>
      <c r="H250" s="65">
        <v>40193.065709697017</v>
      </c>
      <c r="I250" s="65">
        <v>67573.051690806882</v>
      </c>
      <c r="J250" s="65">
        <v>530311.81278971455</v>
      </c>
      <c r="K250" s="65">
        <v>31193.339820531015</v>
      </c>
      <c r="L250" s="65">
        <v>12378.246706123784</v>
      </c>
      <c r="M250" s="65">
        <v>42147.178959130862</v>
      </c>
    </row>
    <row r="251" spans="1:13" x14ac:dyDescent="0.2">
      <c r="A251" s="65" t="s">
        <v>552</v>
      </c>
      <c r="B251" s="65">
        <v>2050</v>
      </c>
      <c r="C251" s="65" t="s">
        <v>517</v>
      </c>
      <c r="D251" s="65" t="s">
        <v>195</v>
      </c>
      <c r="E251" s="65" t="s">
        <v>201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</row>
    <row r="252" spans="1:13" x14ac:dyDescent="0.2">
      <c r="A252" s="65" t="s">
        <v>552</v>
      </c>
      <c r="B252" s="65">
        <v>2050</v>
      </c>
      <c r="C252" s="65" t="s">
        <v>517</v>
      </c>
      <c r="D252" s="65" t="s">
        <v>195</v>
      </c>
      <c r="E252" s="65" t="s">
        <v>202</v>
      </c>
      <c r="F252" s="65">
        <v>8439</v>
      </c>
      <c r="G252" s="65">
        <v>105.38616714697406</v>
      </c>
      <c r="H252" s="65">
        <v>-71.338328530259361</v>
      </c>
      <c r="I252" s="65">
        <v>186.45244956772336</v>
      </c>
      <c r="J252" s="65">
        <v>8429.2720461095105</v>
      </c>
      <c r="K252" s="65">
        <v>416.68069164265131</v>
      </c>
      <c r="L252" s="65">
        <v>272.38270893371759</v>
      </c>
      <c r="M252" s="65">
        <v>0</v>
      </c>
    </row>
    <row r="253" spans="1:13" x14ac:dyDescent="0.2">
      <c r="A253" s="65" t="s">
        <v>552</v>
      </c>
      <c r="B253" s="65">
        <v>2050</v>
      </c>
      <c r="C253" s="65" t="s">
        <v>517</v>
      </c>
      <c r="D253" s="65" t="s">
        <v>195</v>
      </c>
      <c r="E253" s="65" t="s">
        <v>203</v>
      </c>
      <c r="F253" s="65">
        <v>204165</v>
      </c>
      <c r="G253" s="65">
        <v>52460.168665051533</v>
      </c>
      <c r="H253" s="65">
        <v>2653.3988625631337</v>
      </c>
      <c r="I253" s="65">
        <v>7230.8262842360282</v>
      </c>
      <c r="J253" s="65">
        <v>246742.3407793701</v>
      </c>
      <c r="K253" s="65">
        <v>14184.994867162157</v>
      </c>
      <c r="L253" s="65">
        <v>7806.4978647394564</v>
      </c>
      <c r="M253" s="65">
        <v>4687.8110499733093</v>
      </c>
    </row>
    <row r="254" spans="1:13" x14ac:dyDescent="0.2">
      <c r="A254" s="65" t="s">
        <v>552</v>
      </c>
      <c r="B254" s="65">
        <v>2050</v>
      </c>
      <c r="C254" s="65" t="s">
        <v>517</v>
      </c>
      <c r="D254" s="65" t="s">
        <v>213</v>
      </c>
      <c r="E254" s="65" t="s">
        <v>206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</row>
    <row r="255" spans="1:13" x14ac:dyDescent="0.2">
      <c r="A255" s="65" t="s">
        <v>552</v>
      </c>
      <c r="B255" s="65">
        <v>2050</v>
      </c>
      <c r="C255" s="65" t="s">
        <v>517</v>
      </c>
      <c r="D255" s="65" t="s">
        <v>213</v>
      </c>
      <c r="E255" s="65" t="s">
        <v>207</v>
      </c>
      <c r="F255" s="65">
        <v>74844</v>
      </c>
      <c r="G255" s="65">
        <v>682.05165346810463</v>
      </c>
      <c r="H255" s="65">
        <v>0</v>
      </c>
      <c r="I255" s="65">
        <v>6038.6887659676067</v>
      </c>
      <c r="J255" s="65">
        <v>69487.362887500494</v>
      </c>
      <c r="K255" s="65">
        <v>263.58764773767359</v>
      </c>
      <c r="L255" s="65">
        <v>0</v>
      </c>
      <c r="M255" s="65">
        <v>0</v>
      </c>
    </row>
    <row r="256" spans="1:13" x14ac:dyDescent="0.2">
      <c r="A256" s="65" t="s">
        <v>552</v>
      </c>
      <c r="B256" s="65">
        <v>2050</v>
      </c>
      <c r="C256" s="65" t="s">
        <v>517</v>
      </c>
      <c r="D256" s="65" t="s">
        <v>213</v>
      </c>
      <c r="E256" s="65" t="s">
        <v>208</v>
      </c>
      <c r="F256" s="65">
        <v>31027</v>
      </c>
      <c r="G256" s="65">
        <v>2261.7437092264681</v>
      </c>
      <c r="H256" s="65">
        <v>457.62907735321528</v>
      </c>
      <c r="I256" s="65">
        <v>1046.0093196644921</v>
      </c>
      <c r="J256" s="65">
        <v>31531.146318732528</v>
      </c>
      <c r="K256" s="65">
        <v>0</v>
      </c>
      <c r="L256" s="65">
        <v>0</v>
      </c>
      <c r="M256" s="65">
        <v>0</v>
      </c>
    </row>
    <row r="257" spans="1:13" x14ac:dyDescent="0.2">
      <c r="A257" s="65" t="s">
        <v>552</v>
      </c>
      <c r="B257" s="65">
        <v>2050</v>
      </c>
      <c r="C257" s="65" t="s">
        <v>517</v>
      </c>
      <c r="D257" s="65" t="s">
        <v>213</v>
      </c>
      <c r="E257" s="65" t="s">
        <v>209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</row>
    <row r="258" spans="1:13" x14ac:dyDescent="0.2">
      <c r="A258" s="65" t="s">
        <v>552</v>
      </c>
      <c r="B258" s="65">
        <v>2050</v>
      </c>
      <c r="C258" s="65" t="s">
        <v>517</v>
      </c>
      <c r="D258" s="65" t="s">
        <v>213</v>
      </c>
      <c r="E258" s="65" t="s">
        <v>214</v>
      </c>
      <c r="F258" s="65">
        <v>162576</v>
      </c>
      <c r="G258" s="65">
        <v>5431.3622325762935</v>
      </c>
      <c r="H258" s="65">
        <v>935.96311565389215</v>
      </c>
      <c r="I258" s="65">
        <v>11519.088429731906</v>
      </c>
      <c r="J258" s="65">
        <v>155552.3106871905</v>
      </c>
      <c r="K258" s="65">
        <v>0</v>
      </c>
      <c r="L258" s="65">
        <v>0</v>
      </c>
      <c r="M258" s="65">
        <v>0</v>
      </c>
    </row>
    <row r="259" spans="1:13" x14ac:dyDescent="0.2">
      <c r="A259" s="65" t="s">
        <v>552</v>
      </c>
      <c r="B259" s="65">
        <v>2050</v>
      </c>
      <c r="C259" s="65" t="s">
        <v>517</v>
      </c>
      <c r="D259" s="65" t="s">
        <v>213</v>
      </c>
      <c r="E259" s="65" t="s">
        <v>211</v>
      </c>
      <c r="F259" s="65">
        <v>318244</v>
      </c>
      <c r="G259" s="65">
        <v>9690.0429090048856</v>
      </c>
      <c r="H259" s="65">
        <v>1297.2177568307752</v>
      </c>
      <c r="I259" s="65">
        <v>9073.285359440255</v>
      </c>
      <c r="J259" s="65">
        <v>317563.53979273385</v>
      </c>
      <c r="K259" s="65">
        <v>34.746904200824332</v>
      </c>
      <c r="L259" s="65">
        <v>0</v>
      </c>
      <c r="M259" s="65">
        <v>1.4477876750343472</v>
      </c>
    </row>
    <row r="260" spans="1:13" x14ac:dyDescent="0.2">
      <c r="A260" s="65" t="s">
        <v>552</v>
      </c>
      <c r="B260" s="65">
        <v>2050</v>
      </c>
      <c r="C260" s="65" t="s">
        <v>517</v>
      </c>
      <c r="D260" s="65" t="s">
        <v>180</v>
      </c>
      <c r="E260" s="65" t="s">
        <v>181</v>
      </c>
      <c r="F260" s="65">
        <v>63272</v>
      </c>
      <c r="G260" s="65">
        <v>7942</v>
      </c>
      <c r="H260" s="65">
        <v>30</v>
      </c>
      <c r="I260" s="65">
        <v>14080</v>
      </c>
      <c r="J260" s="65">
        <v>57164</v>
      </c>
      <c r="K260" s="65">
        <v>4203</v>
      </c>
      <c r="L260" s="65">
        <v>0</v>
      </c>
      <c r="M260" s="65">
        <v>581</v>
      </c>
    </row>
    <row r="261" spans="1:13" x14ac:dyDescent="0.2">
      <c r="A261" s="65" t="s">
        <v>552</v>
      </c>
      <c r="B261" s="65">
        <v>2050</v>
      </c>
      <c r="C261" s="65" t="s">
        <v>517</v>
      </c>
      <c r="D261" s="65" t="s">
        <v>182</v>
      </c>
      <c r="E261" s="65" t="s">
        <v>215</v>
      </c>
      <c r="F261" s="65">
        <v>12082</v>
      </c>
      <c r="G261" s="65">
        <v>2170.8130671506351</v>
      </c>
      <c r="H261" s="65">
        <v>786.25408348457347</v>
      </c>
      <c r="I261" s="65">
        <v>2009.4900181488201</v>
      </c>
      <c r="J261" s="65">
        <v>11457.068965517241</v>
      </c>
      <c r="K261" s="65">
        <v>0</v>
      </c>
      <c r="L261" s="65">
        <v>0</v>
      </c>
      <c r="M261" s="65">
        <v>0</v>
      </c>
    </row>
    <row r="262" spans="1:13" x14ac:dyDescent="0.2">
      <c r="A262" s="65" t="s">
        <v>552</v>
      </c>
      <c r="B262" s="65">
        <v>2050</v>
      </c>
      <c r="C262" s="65" t="s">
        <v>517</v>
      </c>
      <c r="D262" s="65" t="s">
        <v>182</v>
      </c>
      <c r="E262" s="65" t="s">
        <v>184</v>
      </c>
      <c r="F262" s="65">
        <v>3891</v>
      </c>
      <c r="G262" s="65">
        <v>139.07847165160229</v>
      </c>
      <c r="H262" s="65">
        <v>155.0645028759244</v>
      </c>
      <c r="I262" s="65">
        <v>35.169268693508627</v>
      </c>
      <c r="J262" s="65">
        <v>3838.2460969597369</v>
      </c>
      <c r="K262" s="65">
        <v>0</v>
      </c>
      <c r="L262" s="65">
        <v>0</v>
      </c>
      <c r="M262" s="65">
        <v>0</v>
      </c>
    </row>
    <row r="263" spans="1:13" x14ac:dyDescent="0.2">
      <c r="A263" s="65" t="s">
        <v>552</v>
      </c>
      <c r="B263" s="65">
        <v>2050</v>
      </c>
      <c r="C263" s="65" t="s">
        <v>517</v>
      </c>
      <c r="D263" s="65" t="s">
        <v>182</v>
      </c>
      <c r="E263" s="65" t="s">
        <v>216</v>
      </c>
      <c r="F263" s="65">
        <v>12931</v>
      </c>
      <c r="G263" s="65">
        <v>367.48323292031375</v>
      </c>
      <c r="H263" s="65">
        <v>953.98647266113448</v>
      </c>
      <c r="I263" s="65">
        <v>49.977719677162668</v>
      </c>
      <c r="J263" s="65">
        <v>12295.988973513699</v>
      </c>
      <c r="K263" s="65">
        <v>0</v>
      </c>
      <c r="L263" s="65">
        <v>0</v>
      </c>
      <c r="M263" s="65">
        <v>0</v>
      </c>
    </row>
    <row r="264" spans="1:13" x14ac:dyDescent="0.2">
      <c r="A264" s="65" t="s">
        <v>552</v>
      </c>
      <c r="B264" s="65">
        <v>2050</v>
      </c>
      <c r="C264" s="65" t="s">
        <v>517</v>
      </c>
      <c r="D264" s="65" t="s">
        <v>182</v>
      </c>
      <c r="E264" s="65" t="s">
        <v>186</v>
      </c>
      <c r="F264" s="65">
        <v>21291</v>
      </c>
      <c r="G264" s="65">
        <v>1243.4595223582867</v>
      </c>
      <c r="H264" s="65">
        <v>2353.6069706876488</v>
      </c>
      <c r="I264" s="65">
        <v>1099.5296725217488</v>
      </c>
      <c r="J264" s="65">
        <v>19078.963373413862</v>
      </c>
      <c r="K264" s="65">
        <v>0</v>
      </c>
      <c r="L264" s="65">
        <v>0</v>
      </c>
      <c r="M264" s="65">
        <v>364.54363606139526</v>
      </c>
    </row>
    <row r="265" spans="1:13" x14ac:dyDescent="0.2">
      <c r="A265" s="65" t="s">
        <v>552</v>
      </c>
      <c r="B265" s="65">
        <v>2050</v>
      </c>
      <c r="C265" s="65" t="s">
        <v>517</v>
      </c>
      <c r="D265" s="65" t="s">
        <v>187</v>
      </c>
      <c r="E265" s="65" t="s">
        <v>188</v>
      </c>
      <c r="F265" s="65">
        <v>14517</v>
      </c>
      <c r="G265" s="65">
        <v>114.47556931240327</v>
      </c>
      <c r="H265" s="65">
        <v>31.02608887906257</v>
      </c>
      <c r="I265" s="65">
        <v>256.76763210258679</v>
      </c>
      <c r="J265" s="65">
        <v>14343.681848330754</v>
      </c>
      <c r="K265" s="65">
        <v>0</v>
      </c>
      <c r="L265" s="65">
        <v>1313.7943842582356</v>
      </c>
      <c r="M265" s="65">
        <v>0</v>
      </c>
    </row>
    <row r="266" spans="1:13" x14ac:dyDescent="0.2">
      <c r="A266" s="65" t="s">
        <v>552</v>
      </c>
      <c r="B266" s="65">
        <v>2050</v>
      </c>
      <c r="C266" s="65" t="s">
        <v>517</v>
      </c>
      <c r="D266" s="65" t="s">
        <v>187</v>
      </c>
      <c r="E266" s="65" t="s">
        <v>189</v>
      </c>
      <c r="F266" s="65">
        <v>264380</v>
      </c>
      <c r="G266" s="65">
        <v>836.41682615318518</v>
      </c>
      <c r="H266" s="65">
        <v>156.95723157442487</v>
      </c>
      <c r="I266" s="65">
        <v>862.23216029371554</v>
      </c>
      <c r="J266" s="65">
        <v>264197.22743428504</v>
      </c>
      <c r="K266" s="65">
        <v>43768.35011522087</v>
      </c>
      <c r="L266" s="65">
        <v>0</v>
      </c>
      <c r="M266" s="65">
        <v>252.99027457719799</v>
      </c>
    </row>
    <row r="267" spans="1:13" x14ac:dyDescent="0.2">
      <c r="A267" s="65" t="s">
        <v>552</v>
      </c>
      <c r="B267" s="65">
        <v>2050</v>
      </c>
      <c r="C267" s="65" t="s">
        <v>517</v>
      </c>
      <c r="D267" s="65" t="s">
        <v>190</v>
      </c>
      <c r="E267" s="65" t="s">
        <v>191</v>
      </c>
      <c r="F267" s="65">
        <v>233901</v>
      </c>
      <c r="G267" s="65">
        <v>10609.115349668797</v>
      </c>
      <c r="H267" s="65">
        <v>5934.7059909725076</v>
      </c>
      <c r="I267" s="65">
        <v>2803.9600504132718</v>
      </c>
      <c r="J267" s="65">
        <v>235770.87800427928</v>
      </c>
      <c r="K267" s="65">
        <v>3388.9753502549975</v>
      </c>
      <c r="L267" s="65">
        <v>1105.473247259511</v>
      </c>
      <c r="M267" s="65">
        <v>5746.7469737382025</v>
      </c>
    </row>
    <row r="268" spans="1:13" x14ac:dyDescent="0.2">
      <c r="A268" s="65" t="s">
        <v>552</v>
      </c>
      <c r="B268" s="65">
        <v>2050</v>
      </c>
      <c r="C268" s="65" t="s">
        <v>517</v>
      </c>
      <c r="D268" s="65" t="s">
        <v>190</v>
      </c>
      <c r="E268" s="65" t="s">
        <v>192</v>
      </c>
      <c r="F268" s="65">
        <v>46841</v>
      </c>
      <c r="G268" s="65">
        <v>7990.6044027003227</v>
      </c>
      <c r="H268" s="65">
        <v>3552.6018197828002</v>
      </c>
      <c r="I268" s="65">
        <v>2678.1998238919869</v>
      </c>
      <c r="J268" s="65">
        <v>48602.177604931028</v>
      </c>
      <c r="K268" s="65">
        <v>8489.67346639272</v>
      </c>
      <c r="L268" s="65">
        <v>2048.5203991781627</v>
      </c>
      <c r="M268" s="65">
        <v>116.86190196653948</v>
      </c>
    </row>
    <row r="269" spans="1:13" x14ac:dyDescent="0.2">
      <c r="A269" s="65" t="s">
        <v>552</v>
      </c>
      <c r="B269" s="65">
        <v>2050</v>
      </c>
      <c r="C269" s="65" t="s">
        <v>517</v>
      </c>
      <c r="D269" s="65" t="s">
        <v>193</v>
      </c>
      <c r="E269" s="65" t="s">
        <v>194</v>
      </c>
      <c r="F269" s="65">
        <v>102892</v>
      </c>
      <c r="G269" s="65">
        <v>7465.7652782508658</v>
      </c>
      <c r="H269" s="65">
        <v>-889.4113639723131</v>
      </c>
      <c r="I269" s="65">
        <v>19676.159951670019</v>
      </c>
      <c r="J269" s="65">
        <v>91569.694145774018</v>
      </c>
      <c r="K269" s="65">
        <v>13303.477933379178</v>
      </c>
      <c r="L269" s="65">
        <v>3042.5142644138382</v>
      </c>
      <c r="M269" s="65">
        <v>8166.0527388060182</v>
      </c>
    </row>
  </sheetData>
  <mergeCells count="2">
    <mergeCell ref="I94:N94"/>
    <mergeCell ref="C94:H94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2"/>
  <sheetViews>
    <sheetView topLeftCell="A4" zoomScale="114" zoomScaleNormal="100" workbookViewId="0">
      <selection activeCell="C36" sqref="C36"/>
    </sheetView>
  </sheetViews>
  <sheetFormatPr baseColWidth="10" defaultColWidth="12.796875" defaultRowHeight="15.75" customHeight="1" x14ac:dyDescent="0.2"/>
  <cols>
    <col min="2" max="2" width="6.796875" customWidth="1"/>
    <col min="3" max="3" width="49.19921875" customWidth="1"/>
    <col min="8" max="8" width="12.796875" customWidth="1"/>
  </cols>
  <sheetData>
    <row r="1" spans="1:26" ht="1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" x14ac:dyDescent="0.2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" x14ac:dyDescent="0.2">
      <c r="A5" s="3"/>
      <c r="B5" s="3"/>
      <c r="C5" s="60" t="s">
        <v>1</v>
      </c>
      <c r="D5" s="60" t="s">
        <v>2</v>
      </c>
      <c r="E5" s="60" t="s">
        <v>3</v>
      </c>
      <c r="F5" s="60" t="s">
        <v>4</v>
      </c>
      <c r="G5" s="60" t="s">
        <v>5</v>
      </c>
      <c r="H5" s="62" t="s">
        <v>35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 x14ac:dyDescent="0.2">
      <c r="A6" s="3"/>
      <c r="B6" s="3"/>
      <c r="C6" s="5" t="s">
        <v>38</v>
      </c>
      <c r="D6" s="6">
        <v>2020</v>
      </c>
      <c r="E6" s="3" t="s">
        <v>6</v>
      </c>
      <c r="F6" s="7">
        <v>53</v>
      </c>
      <c r="G6" s="8" t="s">
        <v>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 x14ac:dyDescent="0.2">
      <c r="A7" s="3"/>
      <c r="B7" s="3"/>
      <c r="C7" s="5" t="s">
        <v>40</v>
      </c>
      <c r="D7" s="9" t="s">
        <v>41</v>
      </c>
      <c r="E7" s="3" t="s">
        <v>7</v>
      </c>
      <c r="F7" s="7">
        <v>0</v>
      </c>
      <c r="G7" s="8" t="s">
        <v>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2.5" customHeight="1" x14ac:dyDescent="0.2">
      <c r="A8" s="3"/>
      <c r="B8" s="3"/>
      <c r="C8" s="5" t="s">
        <v>42</v>
      </c>
      <c r="D8" s="6">
        <v>2020</v>
      </c>
      <c r="E8" s="10" t="s">
        <v>43</v>
      </c>
      <c r="F8" s="11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">
      <c r="A9" s="3"/>
      <c r="B9" s="3"/>
      <c r="C9" s="5" t="s">
        <v>44</v>
      </c>
      <c r="D9" s="9">
        <v>2020</v>
      </c>
      <c r="E9" s="10" t="s">
        <v>43</v>
      </c>
      <c r="F9" s="7">
        <f>30045556650*0.000000001</f>
        <v>30.045556650000002</v>
      </c>
      <c r="G9" s="9" t="s">
        <v>45</v>
      </c>
      <c r="H9" s="12" t="s">
        <v>46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2.5" customHeight="1" x14ac:dyDescent="0.2">
      <c r="A10" s="3"/>
      <c r="B10" s="3"/>
      <c r="C10" s="5" t="s">
        <v>47</v>
      </c>
      <c r="D10" s="6">
        <v>2020</v>
      </c>
      <c r="E10" s="3" t="s">
        <v>6</v>
      </c>
      <c r="F10" s="11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 x14ac:dyDescent="0.2">
      <c r="A11" s="3"/>
      <c r="B11" s="3"/>
      <c r="C11" s="13" t="s">
        <v>8</v>
      </c>
      <c r="D11" s="14">
        <v>2020</v>
      </c>
      <c r="E11" s="15" t="s">
        <v>9</v>
      </c>
      <c r="F11" s="11"/>
      <c r="G11" s="6"/>
      <c r="H11" s="10" t="s">
        <v>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2.5" customHeight="1" x14ac:dyDescent="0.2">
      <c r="A12" s="3"/>
      <c r="B12" s="3"/>
      <c r="C12" s="5" t="s">
        <v>49</v>
      </c>
      <c r="D12" s="6">
        <v>2020</v>
      </c>
      <c r="E12" s="10" t="s">
        <v>50</v>
      </c>
      <c r="F12" s="7">
        <v>259495</v>
      </c>
      <c r="G12" s="16" t="s">
        <v>51</v>
      </c>
      <c r="H12" s="12" t="s">
        <v>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 x14ac:dyDescent="0.2">
      <c r="A13" s="3"/>
      <c r="B13" s="3"/>
      <c r="C13" s="5" t="s">
        <v>53</v>
      </c>
      <c r="D13" s="6">
        <v>2020</v>
      </c>
      <c r="E13" s="10" t="s">
        <v>50</v>
      </c>
      <c r="F13" s="11"/>
      <c r="G13" s="6"/>
      <c r="H13" s="10" t="s">
        <v>54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 x14ac:dyDescent="0.2">
      <c r="A14" s="3"/>
      <c r="B14" s="3"/>
      <c r="C14" s="5" t="s">
        <v>55</v>
      </c>
      <c r="D14" s="6" t="s">
        <v>11</v>
      </c>
      <c r="E14" s="10" t="s">
        <v>56</v>
      </c>
      <c r="F14" s="7">
        <v>100</v>
      </c>
      <c r="G14" s="16" t="s">
        <v>57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.5" customHeight="1" x14ac:dyDescent="0.2">
      <c r="A15" s="3"/>
      <c r="B15" s="3"/>
      <c r="C15" s="5" t="s">
        <v>58</v>
      </c>
      <c r="D15" s="6" t="s">
        <v>11</v>
      </c>
      <c r="E15" s="10" t="s">
        <v>56</v>
      </c>
      <c r="F15" s="7">
        <v>0</v>
      </c>
      <c r="G15" s="6"/>
      <c r="H15" s="10" t="s">
        <v>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.5" customHeight="1" x14ac:dyDescent="0.2">
      <c r="A16" s="3"/>
      <c r="B16" s="3"/>
      <c r="C16" s="5" t="s">
        <v>60</v>
      </c>
      <c r="D16" s="6" t="s">
        <v>11</v>
      </c>
      <c r="E16" s="10" t="s">
        <v>56</v>
      </c>
      <c r="F16" s="7">
        <v>14730</v>
      </c>
      <c r="G16" s="16" t="s">
        <v>57</v>
      </c>
      <c r="H16" s="12" t="s">
        <v>61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" x14ac:dyDescent="0.2">
      <c r="A17" s="3"/>
      <c r="B17" s="3"/>
      <c r="C17" s="3"/>
      <c r="D17" s="3"/>
      <c r="E17" s="3"/>
      <c r="F17" s="1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" x14ac:dyDescent="0.2">
      <c r="A18" s="3"/>
      <c r="B18" s="4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" x14ac:dyDescent="0.2">
      <c r="A20" s="3"/>
      <c r="B20" s="3"/>
      <c r="C20" s="60" t="s">
        <v>1</v>
      </c>
      <c r="D20" s="60" t="s">
        <v>2</v>
      </c>
      <c r="E20" s="60" t="s">
        <v>3</v>
      </c>
      <c r="F20" s="63" t="s">
        <v>4</v>
      </c>
      <c r="G20" s="60" t="s">
        <v>5</v>
      </c>
      <c r="H20" s="62" t="s">
        <v>35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.5" customHeight="1" x14ac:dyDescent="0.2">
      <c r="A21" s="3"/>
      <c r="B21" s="3"/>
      <c r="C21" s="5" t="s">
        <v>62</v>
      </c>
      <c r="D21" s="3">
        <v>2050</v>
      </c>
      <c r="E21" s="3" t="s">
        <v>63</v>
      </c>
      <c r="F21" s="18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2.5" customHeight="1" x14ac:dyDescent="0.2">
      <c r="A22" s="3"/>
      <c r="B22" s="3"/>
      <c r="C22" s="19" t="s">
        <v>10</v>
      </c>
      <c r="D22" s="3">
        <v>2050</v>
      </c>
      <c r="E22" s="10" t="s">
        <v>56</v>
      </c>
      <c r="F22" s="18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2.5" customHeight="1" x14ac:dyDescent="0.2">
      <c r="A23" s="3"/>
      <c r="B23" s="3"/>
      <c r="C23" s="83" t="s">
        <v>12</v>
      </c>
      <c r="D23" s="84">
        <v>2050</v>
      </c>
      <c r="E23" s="84" t="s">
        <v>56</v>
      </c>
      <c r="F23" s="8"/>
      <c r="G23" s="6"/>
      <c r="H23" s="10" t="s">
        <v>59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2.5" customHeight="1" x14ac:dyDescent="0.2">
      <c r="A24" s="3"/>
      <c r="B24" s="3"/>
      <c r="C24" s="19" t="s">
        <v>13</v>
      </c>
      <c r="D24" s="3">
        <v>2050</v>
      </c>
      <c r="E24" s="10" t="s">
        <v>56</v>
      </c>
      <c r="F24" s="18">
        <v>14730</v>
      </c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5" customHeight="1" x14ac:dyDescent="0.2">
      <c r="A25" s="3"/>
      <c r="B25" s="3"/>
      <c r="C25" s="5" t="s">
        <v>64</v>
      </c>
      <c r="D25" s="3">
        <v>2050</v>
      </c>
      <c r="E25" s="3" t="s">
        <v>15</v>
      </c>
      <c r="F25" s="18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2.5" customHeight="1" x14ac:dyDescent="0.2">
      <c r="A26" s="3"/>
      <c r="B26" s="3"/>
      <c r="C26" s="5" t="s">
        <v>65</v>
      </c>
      <c r="D26" s="3">
        <v>2050</v>
      </c>
      <c r="E26" s="10" t="s">
        <v>66</v>
      </c>
      <c r="F26" s="20">
        <v>650</v>
      </c>
      <c r="G26" s="9"/>
      <c r="H26" s="10" t="s">
        <v>67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2.5" customHeight="1" x14ac:dyDescent="0.2">
      <c r="A27" s="3"/>
      <c r="B27" s="3"/>
      <c r="C27" s="5" t="s">
        <v>68</v>
      </c>
      <c r="D27" s="3">
        <v>2050</v>
      </c>
      <c r="E27" s="3" t="s">
        <v>7</v>
      </c>
      <c r="F27" s="18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2.5" customHeight="1" x14ac:dyDescent="0.2">
      <c r="A28" s="3"/>
      <c r="B28" s="3"/>
      <c r="C28" s="21" t="s">
        <v>69</v>
      </c>
      <c r="D28" s="22">
        <v>2050</v>
      </c>
      <c r="E28" s="22" t="s">
        <v>7</v>
      </c>
      <c r="F28" s="23"/>
      <c r="G28" s="2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" x14ac:dyDescent="0.2">
      <c r="A29" s="3"/>
      <c r="B29" s="3"/>
      <c r="C29" s="3"/>
      <c r="D29" s="3"/>
      <c r="E29" s="3"/>
      <c r="F29" s="1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" x14ac:dyDescent="0.2">
      <c r="A30" s="3"/>
      <c r="B30" s="4" t="s">
        <v>16</v>
      </c>
      <c r="C30" s="3"/>
      <c r="D30" s="3"/>
      <c r="E30" s="3"/>
      <c r="F30" s="1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" x14ac:dyDescent="0.2">
      <c r="A31" s="3"/>
      <c r="B31" s="3"/>
      <c r="C31" s="3"/>
      <c r="D31" s="3"/>
      <c r="E31" s="3"/>
      <c r="F31" s="25"/>
      <c r="G31" s="25"/>
      <c r="H31" s="25"/>
      <c r="I31" s="2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2.5" customHeight="1" x14ac:dyDescent="0.2">
      <c r="A32" s="3"/>
      <c r="B32" s="3"/>
      <c r="C32" s="60" t="s">
        <v>1</v>
      </c>
      <c r="D32" s="60" t="s">
        <v>2</v>
      </c>
      <c r="E32" s="60" t="s">
        <v>3</v>
      </c>
      <c r="F32" s="61" t="s">
        <v>17</v>
      </c>
      <c r="G32" s="62" t="s">
        <v>5</v>
      </c>
      <c r="H32" s="62" t="s">
        <v>35</v>
      </c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2.5" customHeight="1" x14ac:dyDescent="0.2">
      <c r="A33" s="3"/>
      <c r="B33" s="3"/>
      <c r="C33" s="5" t="s">
        <v>70</v>
      </c>
      <c r="D33" s="3">
        <v>2050</v>
      </c>
      <c r="E33" s="3" t="s">
        <v>6</v>
      </c>
      <c r="F33" s="8">
        <v>130</v>
      </c>
      <c r="G33" s="8" t="s">
        <v>39</v>
      </c>
      <c r="H33" s="18"/>
      <c r="I33" s="1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2.5" customHeight="1" x14ac:dyDescent="0.2">
      <c r="A34" s="3"/>
      <c r="B34" s="3"/>
      <c r="C34" s="5" t="s">
        <v>71</v>
      </c>
      <c r="D34" s="3">
        <v>2050</v>
      </c>
      <c r="E34" s="10" t="s">
        <v>43</v>
      </c>
      <c r="F34" s="18">
        <v>10000</v>
      </c>
      <c r="G34" s="18"/>
      <c r="H34" s="18" t="s">
        <v>177</v>
      </c>
      <c r="I34" s="1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.5" customHeight="1" x14ac:dyDescent="0.2">
      <c r="A35" s="3"/>
      <c r="B35" s="3"/>
      <c r="C35" s="5" t="s">
        <v>72</v>
      </c>
      <c r="D35" s="3">
        <v>2050</v>
      </c>
      <c r="E35" s="10" t="s">
        <v>43</v>
      </c>
      <c r="F35" s="18">
        <v>0</v>
      </c>
      <c r="G35" s="18"/>
      <c r="H35" s="64" t="s">
        <v>178</v>
      </c>
      <c r="I35" s="1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5" customHeight="1" x14ac:dyDescent="0.2">
      <c r="A36" s="3"/>
      <c r="B36" s="3"/>
      <c r="C36" s="5" t="s">
        <v>73</v>
      </c>
      <c r="D36" s="3">
        <v>2050</v>
      </c>
      <c r="E36" s="10" t="s">
        <v>6</v>
      </c>
      <c r="F36" s="18"/>
      <c r="G36" s="18"/>
      <c r="H36" s="18"/>
      <c r="I36" s="1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2.5" customHeight="1" x14ac:dyDescent="0.2">
      <c r="A37" s="3"/>
      <c r="B37" s="3"/>
      <c r="C37" s="5" t="s">
        <v>74</v>
      </c>
      <c r="D37" s="3">
        <v>2050</v>
      </c>
      <c r="E37" s="10" t="s">
        <v>7</v>
      </c>
      <c r="F37" s="26"/>
      <c r="G37" s="26"/>
      <c r="H37" s="26"/>
      <c r="I37" s="2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2.5" customHeight="1" x14ac:dyDescent="0.2">
      <c r="A38" s="3"/>
      <c r="B38" s="3"/>
      <c r="C38" s="5" t="s">
        <v>75</v>
      </c>
      <c r="D38" s="3">
        <v>2050</v>
      </c>
      <c r="E38" s="10" t="s">
        <v>7</v>
      </c>
      <c r="F38" s="26"/>
      <c r="G38" s="26"/>
      <c r="H38" s="26"/>
      <c r="I38" s="2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2.5" customHeight="1" x14ac:dyDescent="0.2">
      <c r="A39" s="3"/>
      <c r="B39" s="3"/>
      <c r="C39" s="5" t="s">
        <v>76</v>
      </c>
      <c r="D39" s="6" t="s">
        <v>18</v>
      </c>
      <c r="E39" s="10" t="s">
        <v>77</v>
      </c>
      <c r="F39" s="26"/>
      <c r="G39" s="26"/>
      <c r="H39" s="26"/>
      <c r="I39" s="2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5" customHeight="1" x14ac:dyDescent="0.2">
      <c r="A40" s="3"/>
      <c r="B40" s="3"/>
      <c r="C40" s="21" t="s">
        <v>78</v>
      </c>
      <c r="D40" s="22">
        <v>2050</v>
      </c>
      <c r="E40" s="27" t="s">
        <v>77</v>
      </c>
      <c r="F40" s="28"/>
      <c r="G40" s="26"/>
      <c r="H40" s="26"/>
      <c r="I40" s="2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" x14ac:dyDescent="0.2">
      <c r="A41" s="3"/>
      <c r="B41" s="3"/>
      <c r="C41" s="3"/>
      <c r="D41" s="3"/>
      <c r="E41" s="3"/>
      <c r="F41" s="29"/>
      <c r="G41" s="29"/>
      <c r="H41" s="29"/>
      <c r="I41" s="2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" x14ac:dyDescent="0.2">
      <c r="A43" s="3"/>
      <c r="B43" s="4" t="s">
        <v>19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" x14ac:dyDescent="0.2">
      <c r="A44" s="3"/>
      <c r="B44" s="6">
        <v>1</v>
      </c>
      <c r="C44" s="3" t="s">
        <v>20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" x14ac:dyDescent="0.2">
      <c r="A45" s="3"/>
      <c r="B45" s="6">
        <v>2</v>
      </c>
      <c r="C45" s="3" t="s">
        <v>21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" x14ac:dyDescent="0.2">
      <c r="A46" s="3"/>
      <c r="B46" s="6">
        <v>3</v>
      </c>
      <c r="C46" s="3" t="s">
        <v>22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" x14ac:dyDescent="0.2">
      <c r="A47" s="3"/>
      <c r="B47" s="6">
        <v>4</v>
      </c>
      <c r="C47" s="3" t="s">
        <v>23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 x14ac:dyDescent="0.2">
      <c r="A48" s="3"/>
      <c r="B48" s="6">
        <v>5</v>
      </c>
      <c r="C48" s="3" t="s">
        <v>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 x14ac:dyDescent="0.2">
      <c r="A49" s="3"/>
      <c r="B49" s="6">
        <v>6</v>
      </c>
      <c r="C49" s="3" t="s">
        <v>25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 x14ac:dyDescent="0.2">
      <c r="A50" s="3"/>
      <c r="B50" s="6">
        <v>7</v>
      </c>
      <c r="C50" s="3" t="s">
        <v>26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 x14ac:dyDescent="0.2">
      <c r="A51" s="3"/>
      <c r="B51" s="6">
        <v>8</v>
      </c>
      <c r="C51" s="3" t="s">
        <v>27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 x14ac:dyDescent="0.2">
      <c r="A52" s="3"/>
      <c r="B52" s="6">
        <v>9</v>
      </c>
      <c r="C52" s="3" t="s">
        <v>28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 x14ac:dyDescent="0.2">
      <c r="A53" s="3"/>
      <c r="B53" s="6">
        <v>10</v>
      </c>
      <c r="C53" s="3" t="s">
        <v>29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 x14ac:dyDescent="0.2">
      <c r="A54" s="3"/>
      <c r="B54" s="6">
        <v>11</v>
      </c>
      <c r="C54" s="3" t="s">
        <v>30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 x14ac:dyDescent="0.2">
      <c r="A55" s="3"/>
      <c r="B55" s="6">
        <v>12</v>
      </c>
      <c r="C55" s="3" t="s">
        <v>31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 x14ac:dyDescent="0.2">
      <c r="A56" s="3"/>
      <c r="B56" s="6">
        <v>13</v>
      </c>
      <c r="C56" s="3" t="s">
        <v>32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 x14ac:dyDescent="0.2">
      <c r="A57" s="3"/>
      <c r="B57" s="6">
        <v>14</v>
      </c>
      <c r="C57" s="3" t="s">
        <v>33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 x14ac:dyDescent="0.2">
      <c r="A58" s="3"/>
      <c r="B58" s="6">
        <v>15</v>
      </c>
      <c r="C58" s="3" t="s">
        <v>34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 x14ac:dyDescent="0.2">
      <c r="A60" s="3"/>
      <c r="B60" s="4" t="s">
        <v>35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 x14ac:dyDescent="0.2">
      <c r="A61" s="3"/>
      <c r="B61" s="3" t="s">
        <v>36</v>
      </c>
      <c r="C61" s="3" t="s">
        <v>37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ataValidations count="1">
    <dataValidation type="custom" allowBlank="1" showDropDown="1" sqref="F6:F16 D21:D28 D33:D40" xr:uid="{00000000-0002-0000-0200-000000000000}">
      <formula1>AND(ISNUMBER(D6),(NOT(OR(NOT(ISERROR(DATEVALUE(D6))), AND(ISNUMBER(D6), LEFT(CELL("format", D6))="D")))))</formula1>
    </dataValidation>
  </dataValidations>
  <hyperlinks>
    <hyperlink ref="H9" r:id="rId1" xr:uid="{00000000-0004-0000-0200-000000000000}"/>
    <hyperlink ref="H12" r:id="rId2" xr:uid="{00000000-0004-0000-0200-000001000000}"/>
    <hyperlink ref="H16" r:id="rId3" xr:uid="{00000000-0004-0000-0200-000002000000}"/>
  </hyperlinks>
  <pageMargins left="0.7" right="0.7" top="0.75" bottom="0.75" header="0.3" footer="0.3"/>
  <tableParts count="3"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44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6" sqref="I6"/>
    </sheetView>
  </sheetViews>
  <sheetFormatPr baseColWidth="10" defaultColWidth="12.796875" defaultRowHeight="15.75" customHeight="1" x14ac:dyDescent="0.2"/>
  <cols>
    <col min="1" max="1" width="4" customWidth="1"/>
    <col min="2" max="2" width="14.3984375" customWidth="1"/>
    <col min="3" max="3" width="27.19921875" customWidth="1"/>
    <col min="4" max="5" width="17" customWidth="1"/>
    <col min="15" max="21" width="12.796875" customWidth="1"/>
    <col min="22" max="23" width="15.796875" customWidth="1"/>
  </cols>
  <sheetData>
    <row r="1" spans="1:23" ht="75" customHeight="1" x14ac:dyDescent="0.2">
      <c r="A1" s="58" t="s">
        <v>79</v>
      </c>
      <c r="B1" s="58" t="s">
        <v>80</v>
      </c>
      <c r="C1" s="58" t="s">
        <v>81</v>
      </c>
      <c r="D1" s="58" t="s">
        <v>82</v>
      </c>
      <c r="E1" s="58" t="s">
        <v>3</v>
      </c>
      <c r="F1" s="59" t="s">
        <v>83</v>
      </c>
      <c r="G1" s="59" t="s">
        <v>84</v>
      </c>
      <c r="H1" s="59" t="s">
        <v>5</v>
      </c>
      <c r="I1" s="34" t="s">
        <v>85</v>
      </c>
      <c r="J1" s="34" t="s">
        <v>86</v>
      </c>
      <c r="K1" s="34" t="s">
        <v>87</v>
      </c>
      <c r="L1" s="59" t="s">
        <v>88</v>
      </c>
      <c r="M1" s="59" t="s">
        <v>89</v>
      </c>
      <c r="N1" s="59" t="s">
        <v>90</v>
      </c>
      <c r="O1" s="34" t="s">
        <v>91</v>
      </c>
      <c r="P1" s="34" t="s">
        <v>92</v>
      </c>
      <c r="Q1" s="34" t="s">
        <v>93</v>
      </c>
      <c r="R1" s="59" t="s">
        <v>94</v>
      </c>
      <c r="S1" s="59" t="s">
        <v>95</v>
      </c>
      <c r="T1" s="59" t="s">
        <v>96</v>
      </c>
      <c r="U1" s="35" t="s">
        <v>97</v>
      </c>
      <c r="V1" s="35" t="s">
        <v>98</v>
      </c>
      <c r="W1" s="35" t="s">
        <v>99</v>
      </c>
    </row>
    <row r="2" spans="1:23" ht="22.5" customHeight="1" x14ac:dyDescent="0.2">
      <c r="A2" s="36">
        <v>1</v>
      </c>
      <c r="B2" s="36" t="s">
        <v>100</v>
      </c>
      <c r="C2" s="36" t="s">
        <v>101</v>
      </c>
      <c r="D2" s="37" t="s">
        <v>102</v>
      </c>
      <c r="E2" s="36" t="s">
        <v>103</v>
      </c>
      <c r="F2" s="38">
        <v>0</v>
      </c>
      <c r="G2" s="39">
        <f>F2/Context!$F$6</f>
        <v>0</v>
      </c>
      <c r="H2" s="38" t="s">
        <v>104</v>
      </c>
      <c r="I2" s="40">
        <f t="shared" ref="I2:I20" si="0">AVERAGE(O2:Q2)</f>
        <v>1922.2619999999999</v>
      </c>
      <c r="J2" s="40">
        <f t="shared" ref="J2:J20" si="1">MAX(O2:Q2)</f>
        <v>1997.4829999999999</v>
      </c>
      <c r="K2" s="40">
        <f t="shared" ref="K2:K20" si="2">MIN(O2:Q2)</f>
        <v>1812.2550000000001</v>
      </c>
      <c r="L2" s="41" t="e">
        <f t="shared" ref="L2:L20" si="3">AVERAGE(R2:T2)</f>
        <v>#REF!</v>
      </c>
      <c r="M2" s="41" t="e">
        <f t="shared" ref="M2:M20" si="4">MAX(R2:T2)</f>
        <v>#REF!</v>
      </c>
      <c r="N2" s="41" t="e">
        <f t="shared" ref="N2:N20" si="5">MIN(R2:T2)</f>
        <v>#REF!</v>
      </c>
      <c r="O2" s="40">
        <v>1957.048</v>
      </c>
      <c r="P2" s="40">
        <v>1997.4829999999999</v>
      </c>
      <c r="Q2" s="40">
        <v>1812.2550000000001</v>
      </c>
      <c r="R2" s="41" t="e">
        <f>O2/#REF!</f>
        <v>#REF!</v>
      </c>
      <c r="S2" s="41" t="e">
        <f>P2/#REF!</f>
        <v>#REF!</v>
      </c>
      <c r="T2" s="41" t="e">
        <f>Q2/#REF!</f>
        <v>#REF!</v>
      </c>
      <c r="U2" s="42" t="s">
        <v>105</v>
      </c>
      <c r="V2" s="43" t="s">
        <v>105</v>
      </c>
      <c r="W2" s="43" t="s">
        <v>105</v>
      </c>
    </row>
    <row r="3" spans="1:23" ht="22.5" customHeight="1" x14ac:dyDescent="0.2">
      <c r="A3" s="36">
        <v>2</v>
      </c>
      <c r="B3" s="36" t="s">
        <v>100</v>
      </c>
      <c r="C3" s="36" t="s">
        <v>106</v>
      </c>
      <c r="D3" s="44" t="s">
        <v>102</v>
      </c>
      <c r="E3" s="36" t="s">
        <v>103</v>
      </c>
      <c r="F3" s="38">
        <v>0</v>
      </c>
      <c r="G3" s="39">
        <f>F3/Context!$F$6</f>
        <v>0</v>
      </c>
      <c r="H3" s="38" t="s">
        <v>104</v>
      </c>
      <c r="I3" s="40">
        <f t="shared" si="0"/>
        <v>1550.9783333333332</v>
      </c>
      <c r="J3" s="40">
        <f t="shared" si="1"/>
        <v>1600.0219999999999</v>
      </c>
      <c r="K3" s="40">
        <f t="shared" si="2"/>
        <v>1478.94</v>
      </c>
      <c r="L3" s="41" t="e">
        <f t="shared" si="3"/>
        <v>#REF!</v>
      </c>
      <c r="M3" s="41" t="e">
        <f t="shared" si="4"/>
        <v>#REF!</v>
      </c>
      <c r="N3" s="41" t="e">
        <f t="shared" si="5"/>
        <v>#REF!</v>
      </c>
      <c r="O3" s="40">
        <v>1573.973</v>
      </c>
      <c r="P3" s="40">
        <v>1600.0219999999999</v>
      </c>
      <c r="Q3" s="40">
        <v>1478.94</v>
      </c>
      <c r="R3" s="41" t="e">
        <f>O3/#REF!</f>
        <v>#REF!</v>
      </c>
      <c r="S3" s="41" t="e">
        <f>P3/#REF!</f>
        <v>#REF!</v>
      </c>
      <c r="T3" s="41" t="e">
        <f>Q3/#REF!</f>
        <v>#REF!</v>
      </c>
      <c r="U3" s="42" t="s">
        <v>105</v>
      </c>
      <c r="V3" s="43" t="s">
        <v>105</v>
      </c>
      <c r="W3" s="43" t="s">
        <v>105</v>
      </c>
    </row>
    <row r="4" spans="1:23" ht="22.5" customHeight="1" x14ac:dyDescent="0.2">
      <c r="A4" s="36">
        <v>3</v>
      </c>
      <c r="B4" s="36" t="s">
        <v>100</v>
      </c>
      <c r="C4" s="36" t="s">
        <v>107</v>
      </c>
      <c r="D4" s="37" t="s">
        <v>108</v>
      </c>
      <c r="E4" s="36" t="s">
        <v>103</v>
      </c>
      <c r="F4" s="38">
        <v>0</v>
      </c>
      <c r="G4" s="39">
        <f>F4/Context!$F$6</f>
        <v>0</v>
      </c>
      <c r="H4" s="38" t="s">
        <v>104</v>
      </c>
      <c r="I4" s="40">
        <f t="shared" si="0"/>
        <v>2870.0088729654567</v>
      </c>
      <c r="J4" s="40">
        <f t="shared" si="1"/>
        <v>2892.9206476445202</v>
      </c>
      <c r="K4" s="40">
        <f t="shared" si="2"/>
        <v>2858.5529854195402</v>
      </c>
      <c r="L4" s="41" t="e">
        <f t="shared" si="3"/>
        <v>#REF!</v>
      </c>
      <c r="M4" s="41" t="e">
        <f t="shared" si="4"/>
        <v>#REF!</v>
      </c>
      <c r="N4" s="41" t="e">
        <f t="shared" si="5"/>
        <v>#REF!</v>
      </c>
      <c r="O4" s="40">
        <v>2858.5529858323098</v>
      </c>
      <c r="P4" s="40">
        <v>2858.5529854195402</v>
      </c>
      <c r="Q4" s="40">
        <v>2892.9206476445202</v>
      </c>
      <c r="R4" s="41" t="e">
        <f>O4/#REF!</f>
        <v>#REF!</v>
      </c>
      <c r="S4" s="41" t="e">
        <f>P4/#REF!</f>
        <v>#REF!</v>
      </c>
      <c r="T4" s="41" t="e">
        <f>Q4/#REF!</f>
        <v>#REF!</v>
      </c>
      <c r="U4" s="42" t="s">
        <v>105</v>
      </c>
      <c r="V4" s="43" t="s">
        <v>105</v>
      </c>
      <c r="W4" s="43" t="s">
        <v>105</v>
      </c>
    </row>
    <row r="5" spans="1:23" ht="22.5" customHeight="1" x14ac:dyDescent="0.2">
      <c r="A5" s="36">
        <v>4</v>
      </c>
      <c r="B5" s="36" t="s">
        <v>100</v>
      </c>
      <c r="C5" s="36" t="s">
        <v>109</v>
      </c>
      <c r="D5" s="44" t="s">
        <v>102</v>
      </c>
      <c r="E5" s="36" t="s">
        <v>103</v>
      </c>
      <c r="F5" s="45">
        <v>0</v>
      </c>
      <c r="G5" s="39">
        <f>F5/Context!$F$6</f>
        <v>0</v>
      </c>
      <c r="H5" s="38" t="s">
        <v>104</v>
      </c>
      <c r="I5" s="40">
        <f t="shared" si="0"/>
        <v>2762.7921077494266</v>
      </c>
      <c r="J5" s="40">
        <f t="shared" si="1"/>
        <v>2917.6129287192298</v>
      </c>
      <c r="K5" s="40">
        <f t="shared" si="2"/>
        <v>2538.6210134628</v>
      </c>
      <c r="L5" s="41" t="e">
        <f t="shared" si="3"/>
        <v>#REF!</v>
      </c>
      <c r="M5" s="41" t="e">
        <f t="shared" si="4"/>
        <v>#REF!</v>
      </c>
      <c r="N5" s="41" t="e">
        <f t="shared" si="5"/>
        <v>#REF!</v>
      </c>
      <c r="O5" s="40">
        <v>2832.14238106625</v>
      </c>
      <c r="P5" s="40">
        <v>2917.6129287192298</v>
      </c>
      <c r="Q5" s="40">
        <v>2538.6210134628</v>
      </c>
      <c r="R5" s="41" t="e">
        <f>O5/#REF!</f>
        <v>#REF!</v>
      </c>
      <c r="S5" s="41" t="e">
        <f>P5/#REF!</f>
        <v>#REF!</v>
      </c>
      <c r="T5" s="41" t="e">
        <f>Q5/#REF!</f>
        <v>#REF!</v>
      </c>
      <c r="U5" s="42" t="s">
        <v>105</v>
      </c>
      <c r="V5" s="43" t="s">
        <v>105</v>
      </c>
      <c r="W5" s="43" t="s">
        <v>105</v>
      </c>
    </row>
    <row r="6" spans="1:23" ht="22.5" customHeight="1" x14ac:dyDescent="0.2">
      <c r="A6" s="36">
        <v>5</v>
      </c>
      <c r="B6" s="36" t="s">
        <v>100</v>
      </c>
      <c r="C6" s="36" t="s">
        <v>110</v>
      </c>
      <c r="D6" s="37" t="s">
        <v>111</v>
      </c>
      <c r="E6" s="36" t="s">
        <v>103</v>
      </c>
      <c r="F6" s="46">
        <f>0.0353*60</f>
        <v>2.1179999999999999</v>
      </c>
      <c r="G6" s="39">
        <f>F6/Context!$F$6</f>
        <v>3.9962264150943394E-2</v>
      </c>
      <c r="H6" s="38" t="s">
        <v>39</v>
      </c>
      <c r="I6" s="40">
        <f t="shared" si="0"/>
        <v>2762.7921077494266</v>
      </c>
      <c r="J6" s="40">
        <f t="shared" si="1"/>
        <v>2917.6129287192298</v>
      </c>
      <c r="K6" s="40">
        <f t="shared" si="2"/>
        <v>2538.6210134628</v>
      </c>
      <c r="L6" s="41" t="e">
        <f t="shared" si="3"/>
        <v>#REF!</v>
      </c>
      <c r="M6" s="41" t="e">
        <f t="shared" si="4"/>
        <v>#REF!</v>
      </c>
      <c r="N6" s="41" t="e">
        <f t="shared" si="5"/>
        <v>#REF!</v>
      </c>
      <c r="O6" s="40">
        <v>2832.14238106625</v>
      </c>
      <c r="P6" s="40">
        <v>2917.6129287192298</v>
      </c>
      <c r="Q6" s="40">
        <v>2538.6210134628</v>
      </c>
      <c r="R6" s="41" t="e">
        <f>O6/#REF!</f>
        <v>#REF!</v>
      </c>
      <c r="S6" s="41" t="e">
        <f>P6/#REF!</f>
        <v>#REF!</v>
      </c>
      <c r="T6" s="41" t="e">
        <f>Q6/#REF!</f>
        <v>#REF!</v>
      </c>
      <c r="U6" s="42" t="s">
        <v>105</v>
      </c>
      <c r="V6" s="43" t="s">
        <v>105</v>
      </c>
      <c r="W6" s="43" t="s">
        <v>105</v>
      </c>
    </row>
    <row r="7" spans="1:23" ht="22.5" customHeight="1" x14ac:dyDescent="0.2">
      <c r="A7" s="36">
        <v>6</v>
      </c>
      <c r="B7" s="36" t="s">
        <v>100</v>
      </c>
      <c r="C7" s="36" t="s">
        <v>112</v>
      </c>
      <c r="D7" s="44" t="s">
        <v>102</v>
      </c>
      <c r="E7" s="36" t="s">
        <v>103</v>
      </c>
      <c r="F7" s="45">
        <v>0</v>
      </c>
      <c r="G7" s="39">
        <f>F7/Context!$F$6</f>
        <v>0</v>
      </c>
      <c r="H7" s="38" t="s">
        <v>104</v>
      </c>
      <c r="I7" s="40">
        <f t="shared" si="0"/>
        <v>2762.7921077494266</v>
      </c>
      <c r="J7" s="40">
        <f t="shared" si="1"/>
        <v>2917.6129287192298</v>
      </c>
      <c r="K7" s="40">
        <f t="shared" si="2"/>
        <v>2538.6210134628</v>
      </c>
      <c r="L7" s="41" t="e">
        <f t="shared" si="3"/>
        <v>#REF!</v>
      </c>
      <c r="M7" s="41" t="e">
        <f t="shared" si="4"/>
        <v>#REF!</v>
      </c>
      <c r="N7" s="41" t="e">
        <f t="shared" si="5"/>
        <v>#REF!</v>
      </c>
      <c r="O7" s="40">
        <v>2832.14238106625</v>
      </c>
      <c r="P7" s="40">
        <v>2917.6129287192298</v>
      </c>
      <c r="Q7" s="40">
        <v>2538.6210134628</v>
      </c>
      <c r="R7" s="41" t="e">
        <f>O7/#REF!</f>
        <v>#REF!</v>
      </c>
      <c r="S7" s="41" t="e">
        <f>P7/#REF!</f>
        <v>#REF!</v>
      </c>
      <c r="T7" s="41" t="e">
        <f>Q7/#REF!</f>
        <v>#REF!</v>
      </c>
      <c r="U7" s="42" t="s">
        <v>105</v>
      </c>
      <c r="V7" s="43" t="s">
        <v>105</v>
      </c>
      <c r="W7" s="43" t="s">
        <v>105</v>
      </c>
    </row>
    <row r="8" spans="1:23" ht="22.5" customHeight="1" x14ac:dyDescent="0.2">
      <c r="A8" s="36">
        <v>7</v>
      </c>
      <c r="B8" s="36" t="s">
        <v>100</v>
      </c>
      <c r="C8" s="36" t="s">
        <v>113</v>
      </c>
      <c r="D8" s="37" t="s">
        <v>114</v>
      </c>
      <c r="E8" s="36" t="s">
        <v>115</v>
      </c>
      <c r="F8" s="45">
        <f>250.4*11630*0.000000001</f>
        <v>2.9121520000000003E-3</v>
      </c>
      <c r="G8" s="39">
        <f>F8/Context!$F$6</f>
        <v>5.49462641509434E-5</v>
      </c>
      <c r="H8" s="38" t="s">
        <v>39</v>
      </c>
      <c r="I8" s="40">
        <f t="shared" si="0"/>
        <v>4121.178058700013</v>
      </c>
      <c r="J8" s="40">
        <f t="shared" si="1"/>
        <v>4153.3085347241804</v>
      </c>
      <c r="K8" s="40">
        <f t="shared" si="2"/>
        <v>4105.11281975765</v>
      </c>
      <c r="L8" s="41" t="e">
        <f t="shared" si="3"/>
        <v>#REF!</v>
      </c>
      <c r="M8" s="41" t="e">
        <f t="shared" si="4"/>
        <v>#REF!</v>
      </c>
      <c r="N8" s="41" t="e">
        <f t="shared" si="5"/>
        <v>#REF!</v>
      </c>
      <c r="O8" s="40">
        <v>4105.11281975765</v>
      </c>
      <c r="P8" s="40">
        <v>4105.1128216182096</v>
      </c>
      <c r="Q8" s="40">
        <v>4153.3085347241804</v>
      </c>
      <c r="R8" s="41" t="e">
        <f>O8/#REF!</f>
        <v>#REF!</v>
      </c>
      <c r="S8" s="41" t="e">
        <f>P8/#REF!</f>
        <v>#REF!</v>
      </c>
      <c r="T8" s="41" t="e">
        <f>Q8/#REF!</f>
        <v>#REF!</v>
      </c>
      <c r="U8" s="42" t="s">
        <v>105</v>
      </c>
      <c r="V8" s="43" t="s">
        <v>105</v>
      </c>
      <c r="W8" s="43" t="s">
        <v>105</v>
      </c>
    </row>
    <row r="9" spans="1:23" ht="22.5" customHeight="1" x14ac:dyDescent="0.2">
      <c r="A9" s="36">
        <v>8</v>
      </c>
      <c r="B9" s="36" t="s">
        <v>100</v>
      </c>
      <c r="C9" s="36" t="s">
        <v>116</v>
      </c>
      <c r="D9" s="44" t="s">
        <v>102</v>
      </c>
      <c r="E9" s="36" t="s">
        <v>103</v>
      </c>
      <c r="F9" s="38">
        <v>0</v>
      </c>
      <c r="G9" s="39">
        <f>F9/Context!$F$6</f>
        <v>0</v>
      </c>
      <c r="H9" s="38" t="s">
        <v>104</v>
      </c>
      <c r="I9" s="40">
        <f t="shared" si="0"/>
        <v>7088.6147643975537</v>
      </c>
      <c r="J9" s="40">
        <f t="shared" si="1"/>
        <v>7157.53702501927</v>
      </c>
      <c r="K9" s="40">
        <f t="shared" si="2"/>
        <v>7054.1536335278097</v>
      </c>
      <c r="L9" s="41" t="e">
        <f t="shared" si="3"/>
        <v>#REF!</v>
      </c>
      <c r="M9" s="41" t="e">
        <f t="shared" si="4"/>
        <v>#REF!</v>
      </c>
      <c r="N9" s="41" t="e">
        <f t="shared" si="5"/>
        <v>#REF!</v>
      </c>
      <c r="O9" s="40">
        <v>7054.1536335278097</v>
      </c>
      <c r="P9" s="40">
        <v>7054.1536346455796</v>
      </c>
      <c r="Q9" s="40">
        <v>7157.53702501927</v>
      </c>
      <c r="R9" s="39" t="e">
        <f>O9/#REF!</f>
        <v>#REF!</v>
      </c>
      <c r="S9" s="39" t="e">
        <f>P9/#REF!</f>
        <v>#REF!</v>
      </c>
      <c r="T9" s="39" t="e">
        <f>Q9/#REF!</f>
        <v>#REF!</v>
      </c>
      <c r="U9" s="42" t="s">
        <v>105</v>
      </c>
      <c r="V9" s="43" t="s">
        <v>105</v>
      </c>
      <c r="W9" s="43" t="s">
        <v>105</v>
      </c>
    </row>
    <row r="10" spans="1:23" ht="22.5" customHeight="1" x14ac:dyDescent="0.2">
      <c r="A10" s="36"/>
      <c r="B10" s="36" t="s">
        <v>100</v>
      </c>
      <c r="C10" s="47" t="s">
        <v>117</v>
      </c>
      <c r="D10" s="47" t="s">
        <v>102</v>
      </c>
      <c r="E10" s="47" t="s">
        <v>103</v>
      </c>
      <c r="F10" s="48">
        <v>0</v>
      </c>
      <c r="G10" s="39" t="e">
        <f>F10/Context!$F$8</f>
        <v>#DIV/0!</v>
      </c>
      <c r="H10" s="38"/>
      <c r="I10" s="49" t="e">
        <f t="shared" si="0"/>
        <v>#DIV/0!</v>
      </c>
      <c r="J10" s="49">
        <f t="shared" si="1"/>
        <v>0</v>
      </c>
      <c r="K10" s="49">
        <f t="shared" si="2"/>
        <v>0</v>
      </c>
      <c r="L10" s="41" t="e">
        <f t="shared" si="3"/>
        <v>#REF!</v>
      </c>
      <c r="M10" s="41" t="e">
        <f t="shared" si="4"/>
        <v>#REF!</v>
      </c>
      <c r="N10" s="41" t="e">
        <f t="shared" si="5"/>
        <v>#REF!</v>
      </c>
      <c r="O10" s="49"/>
      <c r="P10" s="49"/>
      <c r="Q10" s="49"/>
      <c r="R10" s="39" t="e">
        <f>O10/#REF!</f>
        <v>#REF!</v>
      </c>
      <c r="S10" s="39" t="e">
        <f>P10/#REF!</f>
        <v>#REF!</v>
      </c>
      <c r="T10" s="39" t="e">
        <f>Q10/#REF!</f>
        <v>#REF!</v>
      </c>
      <c r="U10" s="42"/>
      <c r="V10" s="43"/>
      <c r="W10" s="43"/>
    </row>
    <row r="11" spans="1:23" ht="22.5" customHeight="1" x14ac:dyDescent="0.2">
      <c r="A11" s="36"/>
      <c r="B11" s="36" t="s">
        <v>100</v>
      </c>
      <c r="C11" s="47" t="s">
        <v>118</v>
      </c>
      <c r="D11" s="47" t="s">
        <v>102</v>
      </c>
      <c r="E11" s="47" t="s">
        <v>103</v>
      </c>
      <c r="F11" s="48"/>
      <c r="G11" s="39" t="e">
        <f>F11/Context!$F$8</f>
        <v>#DIV/0!</v>
      </c>
      <c r="H11" s="38"/>
      <c r="I11" s="49" t="e">
        <f t="shared" si="0"/>
        <v>#DIV/0!</v>
      </c>
      <c r="J11" s="49">
        <f t="shared" si="1"/>
        <v>0</v>
      </c>
      <c r="K11" s="49">
        <f t="shared" si="2"/>
        <v>0</v>
      </c>
      <c r="L11" s="41" t="e">
        <f t="shared" si="3"/>
        <v>#REF!</v>
      </c>
      <c r="M11" s="41" t="e">
        <f t="shared" si="4"/>
        <v>#REF!</v>
      </c>
      <c r="N11" s="41" t="e">
        <f t="shared" si="5"/>
        <v>#REF!</v>
      </c>
      <c r="O11" s="49"/>
      <c r="P11" s="49"/>
      <c r="Q11" s="49"/>
      <c r="R11" s="39" t="e">
        <f>O11/#REF!</f>
        <v>#REF!</v>
      </c>
      <c r="S11" s="39" t="e">
        <f>P11/#REF!</f>
        <v>#REF!</v>
      </c>
      <c r="T11" s="39" t="e">
        <f>Q11/#REF!</f>
        <v>#REF!</v>
      </c>
      <c r="U11" s="42"/>
      <c r="V11" s="43"/>
      <c r="W11" s="43"/>
    </row>
    <row r="12" spans="1:23" ht="22.5" customHeight="1" x14ac:dyDescent="0.2">
      <c r="A12" s="36">
        <v>9</v>
      </c>
      <c r="B12" s="36" t="s">
        <v>119</v>
      </c>
      <c r="C12" s="36" t="s">
        <v>120</v>
      </c>
      <c r="D12" s="36" t="s">
        <v>121</v>
      </c>
      <c r="E12" s="36" t="s">
        <v>43</v>
      </c>
      <c r="F12" s="48">
        <v>8.3505000000000003</v>
      </c>
      <c r="G12" s="39" t="e">
        <f>F12/Context!$F$8</f>
        <v>#DIV/0!</v>
      </c>
      <c r="H12" s="38" t="s">
        <v>122</v>
      </c>
      <c r="I12" s="49">
        <f t="shared" si="0"/>
        <v>18.694289999999999</v>
      </c>
      <c r="J12" s="49">
        <f t="shared" si="1"/>
        <v>19.76079</v>
      </c>
      <c r="K12" s="49">
        <f t="shared" si="2"/>
        <v>17.429490000000001</v>
      </c>
      <c r="L12" s="41" t="e">
        <f t="shared" si="3"/>
        <v>#REF!</v>
      </c>
      <c r="M12" s="41" t="e">
        <f t="shared" si="4"/>
        <v>#REF!</v>
      </c>
      <c r="N12" s="41" t="e">
        <f t="shared" si="5"/>
        <v>#REF!</v>
      </c>
      <c r="O12" s="49">
        <v>18.892589999999998</v>
      </c>
      <c r="P12" s="49">
        <v>19.76079</v>
      </c>
      <c r="Q12" s="49">
        <v>17.429490000000001</v>
      </c>
      <c r="R12" s="39" t="e">
        <f>O12/#REF!</f>
        <v>#REF!</v>
      </c>
      <c r="S12" s="39" t="e">
        <f>P12/#REF!</f>
        <v>#REF!</v>
      </c>
      <c r="T12" s="39" t="e">
        <f>Q12/#REF!</f>
        <v>#REF!</v>
      </c>
      <c r="U12" s="42" t="s">
        <v>105</v>
      </c>
      <c r="V12" s="43" t="s">
        <v>105</v>
      </c>
      <c r="W12" s="43" t="s">
        <v>105</v>
      </c>
    </row>
    <row r="13" spans="1:23" ht="22.5" customHeight="1" x14ac:dyDescent="0.2">
      <c r="A13" s="36">
        <v>10</v>
      </c>
      <c r="B13" s="36" t="s">
        <v>119</v>
      </c>
      <c r="C13" s="36" t="s">
        <v>123</v>
      </c>
      <c r="D13" s="36" t="s">
        <v>114</v>
      </c>
      <c r="E13" s="36" t="s">
        <v>43</v>
      </c>
      <c r="F13" s="48">
        <f>58000000*1.65*14825/1000000000000</f>
        <v>1.4187525000000001</v>
      </c>
      <c r="G13" s="39" t="e">
        <f>F13/Context!$F$8</f>
        <v>#DIV/0!</v>
      </c>
      <c r="H13" s="38" t="s">
        <v>122</v>
      </c>
      <c r="I13" s="49">
        <f t="shared" si="0"/>
        <v>19.023616666666666</v>
      </c>
      <c r="J13" s="49">
        <f t="shared" si="1"/>
        <v>20.128129999999999</v>
      </c>
      <c r="K13" s="49">
        <f t="shared" si="2"/>
        <v>17.714639999999999</v>
      </c>
      <c r="L13" s="41" t="e">
        <f t="shared" si="3"/>
        <v>#REF!</v>
      </c>
      <c r="M13" s="41" t="e">
        <f t="shared" si="4"/>
        <v>#REF!</v>
      </c>
      <c r="N13" s="41" t="e">
        <f t="shared" si="5"/>
        <v>#REF!</v>
      </c>
      <c r="O13" s="49">
        <v>19.228079999999999</v>
      </c>
      <c r="P13" s="49">
        <v>20.128129999999999</v>
      </c>
      <c r="Q13" s="49">
        <v>17.714639999999999</v>
      </c>
      <c r="R13" s="39" t="e">
        <f>O13/#REF!</f>
        <v>#REF!</v>
      </c>
      <c r="S13" s="39" t="e">
        <f>P13/#REF!</f>
        <v>#REF!</v>
      </c>
      <c r="T13" s="39" t="e">
        <f>Q13/#REF!</f>
        <v>#REF!</v>
      </c>
      <c r="U13" s="42" t="s">
        <v>105</v>
      </c>
      <c r="V13" s="43" t="s">
        <v>105</v>
      </c>
      <c r="W13" s="43" t="s">
        <v>105</v>
      </c>
    </row>
    <row r="14" spans="1:23" ht="22.5" customHeight="1" x14ac:dyDescent="0.2">
      <c r="A14" s="36">
        <v>11</v>
      </c>
      <c r="B14" s="36" t="s">
        <v>119</v>
      </c>
      <c r="C14" s="36" t="s">
        <v>124</v>
      </c>
      <c r="D14" s="36" t="s">
        <v>114</v>
      </c>
      <c r="E14" s="36" t="s">
        <v>43</v>
      </c>
      <c r="F14" s="48">
        <f>0.1057 * 5.86 / 0.664 * 1.65</f>
        <v>1.5391766566265059</v>
      </c>
      <c r="G14" s="39" t="e">
        <f>F14/Context!$F$8</f>
        <v>#DIV/0!</v>
      </c>
      <c r="H14" s="38">
        <v>11</v>
      </c>
      <c r="I14" s="49">
        <f t="shared" si="0"/>
        <v>20.007960000000001</v>
      </c>
      <c r="J14" s="49">
        <f t="shared" si="1"/>
        <v>21.152259999999998</v>
      </c>
      <c r="K14" s="49">
        <f t="shared" si="2"/>
        <v>18.65372</v>
      </c>
      <c r="L14" s="41" t="e">
        <f t="shared" si="3"/>
        <v>#REF!</v>
      </c>
      <c r="M14" s="41" t="e">
        <f t="shared" si="4"/>
        <v>#REF!</v>
      </c>
      <c r="N14" s="41" t="e">
        <f t="shared" si="5"/>
        <v>#REF!</v>
      </c>
      <c r="O14" s="49">
        <v>20.2179</v>
      </c>
      <c r="P14" s="49">
        <v>21.152259999999998</v>
      </c>
      <c r="Q14" s="49">
        <v>18.65372</v>
      </c>
      <c r="R14" s="39" t="e">
        <f>O14/#REF!</f>
        <v>#REF!</v>
      </c>
      <c r="S14" s="39" t="e">
        <f>P14/#REF!</f>
        <v>#REF!</v>
      </c>
      <c r="T14" s="39" t="e">
        <f>Q14/#REF!</f>
        <v>#REF!</v>
      </c>
      <c r="U14" s="42" t="s">
        <v>105</v>
      </c>
      <c r="V14" s="43" t="s">
        <v>105</v>
      </c>
      <c r="W14" s="43" t="s">
        <v>105</v>
      </c>
    </row>
    <row r="15" spans="1:23" ht="22.5" customHeight="1" x14ac:dyDescent="0.2">
      <c r="A15" s="36">
        <v>12</v>
      </c>
      <c r="B15" s="36" t="s">
        <v>119</v>
      </c>
      <c r="C15" s="36" t="s">
        <v>125</v>
      </c>
      <c r="D15" s="36" t="s">
        <v>126</v>
      </c>
      <c r="E15" s="36" t="s">
        <v>43</v>
      </c>
      <c r="F15" s="48">
        <v>22.3948384729262</v>
      </c>
      <c r="G15" s="39" t="e">
        <f>F15/Context!$F$8</f>
        <v>#DIV/0!</v>
      </c>
      <c r="H15" s="38" t="s">
        <v>122</v>
      </c>
      <c r="I15" s="49">
        <f t="shared" si="0"/>
        <v>21.345766666666666</v>
      </c>
      <c r="J15" s="49">
        <f t="shared" si="1"/>
        <v>22.737269999999999</v>
      </c>
      <c r="K15" s="49">
        <f t="shared" si="2"/>
        <v>19.704660000000001</v>
      </c>
      <c r="L15" s="41" t="e">
        <f t="shared" si="3"/>
        <v>#REF!</v>
      </c>
      <c r="M15" s="41" t="e">
        <f t="shared" si="4"/>
        <v>#REF!</v>
      </c>
      <c r="N15" s="41" t="e">
        <f t="shared" si="5"/>
        <v>#REF!</v>
      </c>
      <c r="O15" s="49">
        <v>21.595369999999999</v>
      </c>
      <c r="P15" s="49">
        <v>22.737269999999999</v>
      </c>
      <c r="Q15" s="49">
        <v>19.704660000000001</v>
      </c>
      <c r="R15" s="39" t="e">
        <f>O15/#REF!</f>
        <v>#REF!</v>
      </c>
      <c r="S15" s="39" t="e">
        <f>P15/#REF!</f>
        <v>#REF!</v>
      </c>
      <c r="T15" s="39" t="e">
        <f>Q15/#REF!</f>
        <v>#REF!</v>
      </c>
      <c r="U15" s="42" t="s">
        <v>105</v>
      </c>
      <c r="V15" s="43" t="s">
        <v>105</v>
      </c>
      <c r="W15" s="43" t="s">
        <v>105</v>
      </c>
    </row>
    <row r="16" spans="1:23" ht="22.5" customHeight="1" x14ac:dyDescent="0.2">
      <c r="A16" s="36">
        <v>13</v>
      </c>
      <c r="B16" s="36" t="s">
        <v>119</v>
      </c>
      <c r="C16" s="36" t="s">
        <v>127</v>
      </c>
      <c r="D16" s="36" t="s">
        <v>108</v>
      </c>
      <c r="E16" s="36" t="s">
        <v>174</v>
      </c>
      <c r="F16" s="48">
        <v>4.1939755324574808</v>
      </c>
      <c r="G16" s="38" t="s">
        <v>105</v>
      </c>
      <c r="H16" s="38" t="s">
        <v>122</v>
      </c>
      <c r="I16" s="49">
        <f t="shared" si="0"/>
        <v>-2</v>
      </c>
      <c r="J16" s="49">
        <f t="shared" si="1"/>
        <v>-2</v>
      </c>
      <c r="K16" s="49">
        <f t="shared" si="2"/>
        <v>-2</v>
      </c>
      <c r="L16" s="41" t="e">
        <f t="shared" si="3"/>
        <v>#REF!</v>
      </c>
      <c r="M16" s="41" t="e">
        <f t="shared" si="4"/>
        <v>#REF!</v>
      </c>
      <c r="N16" s="41" t="e">
        <f t="shared" si="5"/>
        <v>#REF!</v>
      </c>
      <c r="O16" s="49">
        <v>-2</v>
      </c>
      <c r="P16" s="49">
        <v>-2</v>
      </c>
      <c r="Q16" s="49">
        <v>-2</v>
      </c>
      <c r="R16" s="39" t="e">
        <f>O16/#REF!</f>
        <v>#REF!</v>
      </c>
      <c r="S16" s="39" t="e">
        <f>P16/#REF!</f>
        <v>#REF!</v>
      </c>
      <c r="T16" s="39" t="e">
        <f>Q16/#REF!</f>
        <v>#REF!</v>
      </c>
      <c r="U16" s="42" t="s">
        <v>105</v>
      </c>
      <c r="V16" s="43" t="s">
        <v>105</v>
      </c>
      <c r="W16" s="43" t="s">
        <v>105</v>
      </c>
    </row>
    <row r="17" spans="1:23" ht="22.5" hidden="1" customHeight="1" x14ac:dyDescent="0.2">
      <c r="A17" s="36">
        <v>14</v>
      </c>
      <c r="B17" s="36" t="s">
        <v>119</v>
      </c>
      <c r="C17" s="36" t="s">
        <v>128</v>
      </c>
      <c r="D17" s="36" t="s">
        <v>126</v>
      </c>
      <c r="E17" s="36" t="s">
        <v>43</v>
      </c>
      <c r="F17" s="48">
        <v>0</v>
      </c>
      <c r="G17" s="38" t="s">
        <v>105</v>
      </c>
      <c r="H17" s="38" t="s">
        <v>129</v>
      </c>
      <c r="I17" s="49">
        <f t="shared" si="0"/>
        <v>-10.564265000000001</v>
      </c>
      <c r="J17" s="49">
        <f t="shared" si="1"/>
        <v>-9.6332950000000004</v>
      </c>
      <c r="K17" s="49">
        <f t="shared" si="2"/>
        <v>-11.285500000000001</v>
      </c>
      <c r="L17" s="41" t="e">
        <f t="shared" si="3"/>
        <v>#REF!</v>
      </c>
      <c r="M17" s="41" t="e">
        <f t="shared" si="4"/>
        <v>#REF!</v>
      </c>
      <c r="N17" s="41" t="e">
        <f t="shared" si="5"/>
        <v>#REF!</v>
      </c>
      <c r="O17" s="49">
        <v>-10.773999999999999</v>
      </c>
      <c r="P17" s="49">
        <v>-11.285500000000001</v>
      </c>
      <c r="Q17" s="49">
        <v>-9.6332950000000004</v>
      </c>
      <c r="R17" s="39" t="e">
        <f>O17/#REF!</f>
        <v>#REF!</v>
      </c>
      <c r="S17" s="39" t="e">
        <f>P17/#REF!</f>
        <v>#REF!</v>
      </c>
      <c r="T17" s="39" t="e">
        <f>Q17/#REF!</f>
        <v>#REF!</v>
      </c>
      <c r="U17" s="42" t="s">
        <v>105</v>
      </c>
      <c r="V17" s="43" t="s">
        <v>105</v>
      </c>
      <c r="W17" s="43" t="s">
        <v>105</v>
      </c>
    </row>
    <row r="18" spans="1:23" ht="22.5" customHeight="1" x14ac:dyDescent="0.2">
      <c r="A18" s="36">
        <v>15</v>
      </c>
      <c r="B18" s="36" t="s">
        <v>119</v>
      </c>
      <c r="C18" s="36" t="s">
        <v>130</v>
      </c>
      <c r="D18" s="36" t="s">
        <v>121</v>
      </c>
      <c r="E18" s="36" t="s">
        <v>131</v>
      </c>
      <c r="F18" s="50">
        <f>0.664/8.9*100</f>
        <v>7.4606741573033712</v>
      </c>
      <c r="G18" s="38" t="s">
        <v>105</v>
      </c>
      <c r="H18" s="38" t="s">
        <v>122</v>
      </c>
      <c r="I18" s="51">
        <f t="shared" si="0"/>
        <v>3.6654646666666664</v>
      </c>
      <c r="J18" s="51">
        <f t="shared" si="1"/>
        <v>4.456696</v>
      </c>
      <c r="K18" s="51">
        <f t="shared" si="2"/>
        <v>3.1308310000000001</v>
      </c>
      <c r="L18" s="41">
        <f t="shared" si="3"/>
        <v>-0.50869524799196786</v>
      </c>
      <c r="M18" s="41">
        <f t="shared" si="4"/>
        <v>-0.40264165060240964</v>
      </c>
      <c r="N18" s="41">
        <f t="shared" si="5"/>
        <v>-0.580355483433735</v>
      </c>
      <c r="O18" s="51">
        <v>3.4088669999999999</v>
      </c>
      <c r="P18" s="51">
        <v>3.1308310000000001</v>
      </c>
      <c r="Q18" s="51">
        <v>4.456696</v>
      </c>
      <c r="R18" s="39">
        <f t="shared" ref="R18:T18" si="6">(O18/$F18)-1</f>
        <v>-0.54308860993975916</v>
      </c>
      <c r="S18" s="39">
        <f t="shared" si="6"/>
        <v>-0.580355483433735</v>
      </c>
      <c r="T18" s="39">
        <f t="shared" si="6"/>
        <v>-0.40264165060240964</v>
      </c>
      <c r="U18" s="42" t="s">
        <v>105</v>
      </c>
      <c r="V18" s="43" t="s">
        <v>105</v>
      </c>
      <c r="W18" s="43" t="s">
        <v>105</v>
      </c>
    </row>
    <row r="19" spans="1:23" ht="22.5" customHeight="1" x14ac:dyDescent="0.2">
      <c r="A19" s="36">
        <v>16</v>
      </c>
      <c r="B19" s="36" t="s">
        <v>132</v>
      </c>
      <c r="C19" s="36" t="s">
        <v>133</v>
      </c>
      <c r="D19" s="36" t="s">
        <v>121</v>
      </c>
      <c r="E19" s="36" t="s">
        <v>175</v>
      </c>
      <c r="F19" s="48">
        <v>1.508</v>
      </c>
      <c r="G19" s="38" t="s">
        <v>105</v>
      </c>
      <c r="H19" s="38">
        <v>3</v>
      </c>
      <c r="I19" s="51">
        <f t="shared" si="0"/>
        <v>0.75069753333333333</v>
      </c>
      <c r="J19" s="51">
        <f t="shared" si="1"/>
        <v>0.89050090000000004</v>
      </c>
      <c r="K19" s="51">
        <f t="shared" si="2"/>
        <v>0.58800989999999997</v>
      </c>
      <c r="L19" s="41">
        <f t="shared" si="3"/>
        <v>-0.50218996463306809</v>
      </c>
      <c r="M19" s="41">
        <f t="shared" si="4"/>
        <v>-0.40948216180371355</v>
      </c>
      <c r="N19" s="41">
        <f t="shared" si="5"/>
        <v>-0.61007301061007957</v>
      </c>
      <c r="O19" s="51">
        <v>0.77358179999999999</v>
      </c>
      <c r="P19" s="51">
        <v>0.58800989999999997</v>
      </c>
      <c r="Q19" s="51">
        <v>0.89050090000000004</v>
      </c>
      <c r="R19" s="39">
        <f t="shared" ref="R19:T19" si="7">(O19/$F19)-1</f>
        <v>-0.48701472148541114</v>
      </c>
      <c r="S19" s="39">
        <f t="shared" si="7"/>
        <v>-0.61007301061007957</v>
      </c>
      <c r="T19" s="39">
        <f t="shared" si="7"/>
        <v>-0.40948216180371355</v>
      </c>
      <c r="U19" s="42" t="s">
        <v>105</v>
      </c>
      <c r="V19" s="43" t="s">
        <v>105</v>
      </c>
      <c r="W19" s="52" t="s">
        <v>105</v>
      </c>
    </row>
    <row r="20" spans="1:23" ht="22.5" customHeight="1" x14ac:dyDescent="0.2">
      <c r="A20" s="36">
        <v>17</v>
      </c>
      <c r="B20" s="36" t="s">
        <v>132</v>
      </c>
      <c r="C20" s="36" t="s">
        <v>134</v>
      </c>
      <c r="D20" s="36" t="s">
        <v>121</v>
      </c>
      <c r="E20" s="36" t="s">
        <v>135</v>
      </c>
      <c r="F20" s="45">
        <v>1601.7224701276987</v>
      </c>
      <c r="G20" s="39" t="e">
        <f>F20/Context!$F$10</f>
        <v>#DIV/0!</v>
      </c>
      <c r="H20" s="38">
        <v>3</v>
      </c>
      <c r="I20" s="40">
        <f t="shared" si="0"/>
        <v>4730.561333333334</v>
      </c>
      <c r="J20" s="40">
        <f t="shared" si="1"/>
        <v>5122.8149999999996</v>
      </c>
      <c r="K20" s="40">
        <f t="shared" si="2"/>
        <v>4478.1440000000002</v>
      </c>
      <c r="L20" s="41" t="e">
        <f t="shared" si="3"/>
        <v>#REF!</v>
      </c>
      <c r="M20" s="41" t="e">
        <f t="shared" si="4"/>
        <v>#REF!</v>
      </c>
      <c r="N20" s="41" t="e">
        <f t="shared" si="5"/>
        <v>#REF!</v>
      </c>
      <c r="O20" s="40">
        <v>4590.7250000000004</v>
      </c>
      <c r="P20" s="40">
        <v>5122.8149999999996</v>
      </c>
      <c r="Q20" s="40">
        <v>4478.1440000000002</v>
      </c>
      <c r="R20" s="39" t="e">
        <f>O20/#REF!</f>
        <v>#REF!</v>
      </c>
      <c r="S20" s="39" t="e">
        <f>P20/#REF!</f>
        <v>#REF!</v>
      </c>
      <c r="T20" s="39" t="e">
        <f>Q20/#REF!</f>
        <v>#REF!</v>
      </c>
      <c r="U20" s="42" t="s">
        <v>105</v>
      </c>
      <c r="V20" s="43" t="s">
        <v>105</v>
      </c>
      <c r="W20" s="43" t="s">
        <v>105</v>
      </c>
    </row>
    <row r="21" spans="1:23" ht="22.5" hidden="1" customHeight="1" x14ac:dyDescent="0.2">
      <c r="A21" s="36">
        <v>18</v>
      </c>
      <c r="B21" s="36" t="s">
        <v>132</v>
      </c>
      <c r="C21" s="36" t="s">
        <v>136</v>
      </c>
      <c r="D21" s="36" t="s">
        <v>137</v>
      </c>
      <c r="E21" s="36" t="s">
        <v>138</v>
      </c>
      <c r="F21" s="45">
        <v>348.57777394599998</v>
      </c>
      <c r="G21" s="39" t="e">
        <f>F21/#REF!</f>
        <v>#REF!</v>
      </c>
      <c r="H21" s="38">
        <v>4</v>
      </c>
      <c r="I21" s="40">
        <f>U21</f>
        <v>660.19099700000004</v>
      </c>
      <c r="J21" s="53" t="s">
        <v>105</v>
      </c>
      <c r="K21" s="53" t="s">
        <v>105</v>
      </c>
      <c r="L21" s="41" t="e">
        <f>U21/#REF!</f>
        <v>#REF!</v>
      </c>
      <c r="M21" s="38" t="s">
        <v>105</v>
      </c>
      <c r="N21" s="38" t="s">
        <v>105</v>
      </c>
      <c r="O21" s="53" t="s">
        <v>105</v>
      </c>
      <c r="P21" s="53" t="s">
        <v>105</v>
      </c>
      <c r="Q21" s="53" t="s">
        <v>105</v>
      </c>
      <c r="R21" s="38" t="s">
        <v>105</v>
      </c>
      <c r="S21" s="38" t="s">
        <v>105</v>
      </c>
      <c r="T21" s="38" t="s">
        <v>105</v>
      </c>
      <c r="U21" s="54">
        <v>660.19099700000004</v>
      </c>
      <c r="V21" s="43" t="s">
        <v>105</v>
      </c>
      <c r="W21" s="43" t="s">
        <v>105</v>
      </c>
    </row>
    <row r="22" spans="1:23" ht="22.5" customHeight="1" x14ac:dyDescent="0.2">
      <c r="A22" s="36">
        <v>19</v>
      </c>
      <c r="B22" s="36" t="s">
        <v>139</v>
      </c>
      <c r="C22" s="36" t="s">
        <v>140</v>
      </c>
      <c r="D22" s="36" t="s">
        <v>102</v>
      </c>
      <c r="E22" s="36" t="s">
        <v>141</v>
      </c>
      <c r="F22" s="38">
        <v>0</v>
      </c>
      <c r="G22" s="39" t="e">
        <f>F22/#REF!</f>
        <v>#REF!</v>
      </c>
      <c r="H22" s="38" t="s">
        <v>104</v>
      </c>
      <c r="I22" s="40">
        <f t="shared" ref="I22:I23" si="8">AVERAGE(O22:Q22)</f>
        <v>1541.0630000000001</v>
      </c>
      <c r="J22" s="40">
        <f t="shared" ref="J22:J23" si="9">MAX(O22:Q22)</f>
        <v>1541.0630000000001</v>
      </c>
      <c r="K22" s="40">
        <f t="shared" ref="K22:K23" si="10">MIN(O22:Q22)</f>
        <v>1541.0630000000001</v>
      </c>
      <c r="L22" s="41" t="e">
        <f>AVERAGE(R22:T22)</f>
        <v>#REF!</v>
      </c>
      <c r="M22" s="41" t="e">
        <f>MAX(R22:T22)</f>
        <v>#REF!</v>
      </c>
      <c r="N22" s="41" t="e">
        <f>MIN(R22:T22)</f>
        <v>#REF!</v>
      </c>
      <c r="O22" s="40">
        <v>1541.0630000000001</v>
      </c>
      <c r="P22" s="40">
        <v>1541.0630000000001</v>
      </c>
      <c r="Q22" s="40">
        <v>1541.0630000000001</v>
      </c>
      <c r="R22" s="41" t="e">
        <f>O22/#REF!</f>
        <v>#REF!</v>
      </c>
      <c r="S22" s="41" t="e">
        <f>P22/#REF!</f>
        <v>#REF!</v>
      </c>
      <c r="T22" s="41" t="e">
        <f>Q22/#REF!</f>
        <v>#REF!</v>
      </c>
      <c r="U22" s="42" t="s">
        <v>105</v>
      </c>
      <c r="V22" s="43" t="s">
        <v>105</v>
      </c>
      <c r="W22" s="43" t="s">
        <v>105</v>
      </c>
    </row>
    <row r="23" spans="1:23" ht="22.5" customHeight="1" x14ac:dyDescent="0.2">
      <c r="A23" s="36">
        <v>20</v>
      </c>
      <c r="B23" s="36" t="s">
        <v>139</v>
      </c>
      <c r="C23" s="36" t="s">
        <v>142</v>
      </c>
      <c r="D23" s="36" t="s">
        <v>102</v>
      </c>
      <c r="E23" s="36" t="s">
        <v>7</v>
      </c>
      <c r="F23" s="38">
        <v>0.6</v>
      </c>
      <c r="G23" s="39" t="e">
        <f>F23/#REF!</f>
        <v>#REF!</v>
      </c>
      <c r="H23" s="38">
        <v>2</v>
      </c>
      <c r="I23" s="40">
        <f t="shared" si="8"/>
        <v>152.45883584450124</v>
      </c>
      <c r="J23" s="40">
        <f t="shared" si="9"/>
        <v>155.32303105962066</v>
      </c>
      <c r="K23" s="40">
        <f t="shared" si="10"/>
        <v>150.3765801544499</v>
      </c>
      <c r="L23" s="39" t="e">
        <f>AVERAGE(R24:T25)</f>
        <v>#REF!</v>
      </c>
      <c r="M23" s="39" t="e">
        <f>MAX(R24:T25)</f>
        <v>#REF!</v>
      </c>
      <c r="N23" s="39" t="e">
        <f>MIN(R24:T25)</f>
        <v>#REF!</v>
      </c>
      <c r="O23" s="40">
        <v>151.67689631943318</v>
      </c>
      <c r="P23" s="40">
        <v>155.32303105962066</v>
      </c>
      <c r="Q23" s="40">
        <v>150.3765801544499</v>
      </c>
      <c r="R23" s="38" t="s">
        <v>105</v>
      </c>
      <c r="S23" s="38" t="s">
        <v>105</v>
      </c>
      <c r="T23" s="38" t="s">
        <v>105</v>
      </c>
      <c r="U23" s="42" t="s">
        <v>105</v>
      </c>
      <c r="V23" s="43" t="s">
        <v>105</v>
      </c>
      <c r="W23" s="43" t="s">
        <v>105</v>
      </c>
    </row>
    <row r="24" spans="1:23" ht="22.5" customHeight="1" x14ac:dyDescent="0.2">
      <c r="A24" s="36"/>
      <c r="B24" s="36" t="s">
        <v>139</v>
      </c>
      <c r="C24" s="36" t="s">
        <v>143</v>
      </c>
      <c r="D24" s="36"/>
      <c r="E24" s="36" t="s">
        <v>7</v>
      </c>
      <c r="F24" s="38" t="s">
        <v>105</v>
      </c>
      <c r="G24" s="38" t="s">
        <v>105</v>
      </c>
      <c r="H24" s="38" t="s">
        <v>105</v>
      </c>
      <c r="I24" s="53" t="s">
        <v>105</v>
      </c>
      <c r="J24" s="53" t="s">
        <v>105</v>
      </c>
      <c r="K24" s="53" t="s">
        <v>105</v>
      </c>
      <c r="L24" s="38" t="s">
        <v>105</v>
      </c>
      <c r="M24" s="38" t="s">
        <v>105</v>
      </c>
      <c r="N24" s="38" t="s">
        <v>105</v>
      </c>
      <c r="O24" s="53" t="s">
        <v>105</v>
      </c>
      <c r="P24" s="53" t="s">
        <v>105</v>
      </c>
      <c r="Q24" s="53" t="s">
        <v>105</v>
      </c>
      <c r="R24" s="39" t="e">
        <f>O23/#REF!</f>
        <v>#REF!</v>
      </c>
      <c r="S24" s="39" t="e">
        <f>P23/#REF!</f>
        <v>#REF!</v>
      </c>
      <c r="T24" s="39" t="e">
        <f>Q23/#REF!</f>
        <v>#REF!</v>
      </c>
      <c r="U24" s="42" t="s">
        <v>105</v>
      </c>
      <c r="V24" s="43" t="s">
        <v>105</v>
      </c>
      <c r="W24" s="43" t="s">
        <v>105</v>
      </c>
    </row>
    <row r="25" spans="1:23" ht="22.5" customHeight="1" x14ac:dyDescent="0.2">
      <c r="A25" s="36"/>
      <c r="B25" s="36" t="s">
        <v>139</v>
      </c>
      <c r="C25" s="36" t="s">
        <v>144</v>
      </c>
      <c r="D25" s="36"/>
      <c r="E25" s="36" t="s">
        <v>7</v>
      </c>
      <c r="F25" s="38" t="s">
        <v>105</v>
      </c>
      <c r="G25" s="38" t="s">
        <v>105</v>
      </c>
      <c r="H25" s="38" t="s">
        <v>105</v>
      </c>
      <c r="I25" s="53" t="s">
        <v>105</v>
      </c>
      <c r="J25" s="53" t="s">
        <v>105</v>
      </c>
      <c r="K25" s="53" t="s">
        <v>105</v>
      </c>
      <c r="L25" s="38" t="s">
        <v>105</v>
      </c>
      <c r="M25" s="38" t="s">
        <v>105</v>
      </c>
      <c r="N25" s="38" t="s">
        <v>105</v>
      </c>
      <c r="O25" s="53" t="s">
        <v>105</v>
      </c>
      <c r="P25" s="53" t="s">
        <v>105</v>
      </c>
      <c r="Q25" s="53" t="s">
        <v>105</v>
      </c>
      <c r="R25" s="39" t="e">
        <f>O23/#REF!</f>
        <v>#REF!</v>
      </c>
      <c r="S25" s="39" t="e">
        <f>P23/#REF!</f>
        <v>#REF!</v>
      </c>
      <c r="T25" s="39" t="e">
        <f>Q23/#REF!</f>
        <v>#REF!</v>
      </c>
      <c r="U25" s="42" t="s">
        <v>105</v>
      </c>
      <c r="V25" s="43" t="s">
        <v>105</v>
      </c>
      <c r="W25" s="43" t="s">
        <v>105</v>
      </c>
    </row>
    <row r="26" spans="1:23" ht="22.5" customHeight="1" x14ac:dyDescent="0.2">
      <c r="A26" s="36">
        <v>21</v>
      </c>
      <c r="B26" s="36" t="s">
        <v>139</v>
      </c>
      <c r="C26" s="36" t="s">
        <v>145</v>
      </c>
      <c r="D26" s="36" t="s">
        <v>121</v>
      </c>
      <c r="E26" s="36" t="s">
        <v>146</v>
      </c>
      <c r="F26" s="38">
        <v>0</v>
      </c>
      <c r="G26" s="39">
        <f>F26/Context!$F$12</f>
        <v>0</v>
      </c>
      <c r="H26" s="38" t="s">
        <v>104</v>
      </c>
      <c r="I26" s="51">
        <f>AVERAGE(O26:Q26)</f>
        <v>1.292043418943154</v>
      </c>
      <c r="J26" s="51">
        <f>MAX(O26:Q26)</f>
        <v>1.3525722722931439</v>
      </c>
      <c r="K26" s="51">
        <f>MIN(O26:Q26)</f>
        <v>1.2147387771808575</v>
      </c>
      <c r="L26" s="39" t="e">
        <f>AVERAGE(R26:T26)</f>
        <v>#REF!</v>
      </c>
      <c r="M26" s="39" t="e">
        <f>MAX(R26:T26)</f>
        <v>#REF!</v>
      </c>
      <c r="N26" s="39" t="e">
        <f>MIN(R26:T26)</f>
        <v>#REF!</v>
      </c>
      <c r="O26" s="51">
        <f t="shared" ref="O26:Q26" si="11">AVERAGE(O27:O28)</f>
        <v>1.3088192073554605</v>
      </c>
      <c r="P26" s="51">
        <f t="shared" si="11"/>
        <v>1.3525722722931439</v>
      </c>
      <c r="Q26" s="51">
        <f t="shared" si="11"/>
        <v>1.2147387771808575</v>
      </c>
      <c r="R26" s="39" t="e">
        <f>O26/#REF!</f>
        <v>#REF!</v>
      </c>
      <c r="S26" s="39" t="e">
        <f>P26/#REF!</f>
        <v>#REF!</v>
      </c>
      <c r="T26" s="39" t="e">
        <f>Q26/#REF!</f>
        <v>#REF!</v>
      </c>
      <c r="U26" s="42" t="s">
        <v>105</v>
      </c>
      <c r="V26" s="43" t="s">
        <v>105</v>
      </c>
      <c r="W26" s="43" t="s">
        <v>105</v>
      </c>
    </row>
    <row r="27" spans="1:23" ht="22.5" customHeight="1" x14ac:dyDescent="0.2">
      <c r="A27" s="36"/>
      <c r="B27" s="36" t="s">
        <v>139</v>
      </c>
      <c r="C27" s="36" t="s">
        <v>147</v>
      </c>
      <c r="D27" s="36"/>
      <c r="E27" s="36" t="s">
        <v>146</v>
      </c>
      <c r="F27" s="38">
        <v>0</v>
      </c>
      <c r="G27" s="39" t="e">
        <f>F27/#REF!</f>
        <v>#REF!</v>
      </c>
      <c r="H27" s="38" t="s">
        <v>104</v>
      </c>
      <c r="I27" s="53" t="s">
        <v>105</v>
      </c>
      <c r="J27" s="53" t="s">
        <v>105</v>
      </c>
      <c r="K27" s="53" t="s">
        <v>105</v>
      </c>
      <c r="L27" s="38" t="s">
        <v>105</v>
      </c>
      <c r="M27" s="38" t="s">
        <v>105</v>
      </c>
      <c r="N27" s="38" t="s">
        <v>105</v>
      </c>
      <c r="O27" s="51">
        <v>1.1571800421880618</v>
      </c>
      <c r="P27" s="51">
        <v>1.2302430733978427</v>
      </c>
      <c r="Q27" s="51">
        <v>1.0610698120277045</v>
      </c>
      <c r="R27" s="39" t="e">
        <f>O27/#REF!</f>
        <v>#REF!</v>
      </c>
      <c r="S27" s="39" t="e">
        <f>P27/#REF!</f>
        <v>#REF!</v>
      </c>
      <c r="T27" s="39" t="e">
        <f>Q27/#REF!</f>
        <v>#REF!</v>
      </c>
      <c r="U27" s="42" t="s">
        <v>105</v>
      </c>
      <c r="V27" s="43" t="s">
        <v>105</v>
      </c>
      <c r="W27" s="43" t="s">
        <v>105</v>
      </c>
    </row>
    <row r="28" spans="1:23" ht="22.5" customHeight="1" x14ac:dyDescent="0.2">
      <c r="A28" s="36"/>
      <c r="B28" s="36" t="s">
        <v>139</v>
      </c>
      <c r="C28" s="36" t="s">
        <v>148</v>
      </c>
      <c r="D28" s="36"/>
      <c r="E28" s="36" t="s">
        <v>146</v>
      </c>
      <c r="F28" s="38">
        <v>0</v>
      </c>
      <c r="G28" s="39" t="e">
        <f>F28/#REF!</f>
        <v>#REF!</v>
      </c>
      <c r="H28" s="38" t="s">
        <v>104</v>
      </c>
      <c r="I28" s="53" t="s">
        <v>105</v>
      </c>
      <c r="J28" s="53" t="s">
        <v>105</v>
      </c>
      <c r="K28" s="53" t="s">
        <v>105</v>
      </c>
      <c r="L28" s="38" t="s">
        <v>105</v>
      </c>
      <c r="M28" s="38" t="s">
        <v>105</v>
      </c>
      <c r="N28" s="38" t="s">
        <v>105</v>
      </c>
      <c r="O28" s="51">
        <v>1.460458372522859</v>
      </c>
      <c r="P28" s="51">
        <v>1.4749014711884449</v>
      </c>
      <c r="Q28" s="51">
        <v>1.3684077423340106</v>
      </c>
      <c r="R28" s="39" t="e">
        <f>O28/#REF!</f>
        <v>#REF!</v>
      </c>
      <c r="S28" s="39" t="e">
        <f>P28/#REF!</f>
        <v>#REF!</v>
      </c>
      <c r="T28" s="39" t="e">
        <f>Q28/#REF!</f>
        <v>#REF!</v>
      </c>
      <c r="U28" s="42" t="s">
        <v>105</v>
      </c>
      <c r="V28" s="43" t="s">
        <v>105</v>
      </c>
      <c r="W28" s="43" t="s">
        <v>105</v>
      </c>
    </row>
    <row r="29" spans="1:23" ht="22.5" customHeight="1" x14ac:dyDescent="0.2">
      <c r="A29" s="36">
        <v>22</v>
      </c>
      <c r="B29" s="36" t="s">
        <v>139</v>
      </c>
      <c r="C29" s="36" t="s">
        <v>149</v>
      </c>
      <c r="D29" s="36" t="s">
        <v>121</v>
      </c>
      <c r="E29" s="36" t="s">
        <v>146</v>
      </c>
      <c r="F29" s="38">
        <v>0</v>
      </c>
      <c r="G29" s="39" t="e">
        <f>F29/Context!$F$13</f>
        <v>#DIV/0!</v>
      </c>
      <c r="H29" s="38" t="s">
        <v>104</v>
      </c>
      <c r="I29" s="51">
        <f t="shared" ref="I29:I30" si="12">AVERAGE(O29:Q29)</f>
        <v>4.9257576724199819</v>
      </c>
      <c r="J29" s="51">
        <f t="shared" ref="J29:J30" si="13">MAX(O29:Q29)</f>
        <v>4.9807124534572313</v>
      </c>
      <c r="K29" s="51">
        <f t="shared" ref="K29:K30" si="14">MIN(O29:Q29)</f>
        <v>4.8648678002777705</v>
      </c>
      <c r="L29" s="39" t="e">
        <f t="shared" ref="L29:L30" si="15">AVERAGE(R29:T29)</f>
        <v>#REF!</v>
      </c>
      <c r="M29" s="39" t="e">
        <f t="shared" ref="M29:M30" si="16">MAX(R29:T29)</f>
        <v>#REF!</v>
      </c>
      <c r="N29" s="39" t="e">
        <f t="shared" ref="N29:N30" si="17">MIN(R29:T29)</f>
        <v>#REF!</v>
      </c>
      <c r="O29" s="51">
        <v>4.9316927635249437</v>
      </c>
      <c r="P29" s="51">
        <v>4.8648678002777705</v>
      </c>
      <c r="Q29" s="51">
        <v>4.9807124534572313</v>
      </c>
      <c r="R29" s="39" t="e">
        <f>O29/#REF!</f>
        <v>#REF!</v>
      </c>
      <c r="S29" s="39" t="e">
        <f>P29/#REF!</f>
        <v>#REF!</v>
      </c>
      <c r="T29" s="39" t="e">
        <f>Q29/#REF!</f>
        <v>#REF!</v>
      </c>
      <c r="U29" s="42" t="s">
        <v>105</v>
      </c>
      <c r="V29" s="43" t="s">
        <v>105</v>
      </c>
      <c r="W29" s="43" t="s">
        <v>105</v>
      </c>
    </row>
    <row r="30" spans="1:23" ht="22.5" customHeight="1" x14ac:dyDescent="0.2">
      <c r="A30" s="36">
        <v>23</v>
      </c>
      <c r="B30" s="36" t="s">
        <v>139</v>
      </c>
      <c r="C30" s="36" t="s">
        <v>150</v>
      </c>
      <c r="D30" s="36" t="s">
        <v>121</v>
      </c>
      <c r="E30" s="36" t="s">
        <v>176</v>
      </c>
      <c r="F30" s="38" t="s">
        <v>105</v>
      </c>
      <c r="G30" s="38" t="s">
        <v>105</v>
      </c>
      <c r="H30" s="38" t="s">
        <v>105</v>
      </c>
      <c r="I30" s="40">
        <f t="shared" si="12"/>
        <v>-30</v>
      </c>
      <c r="J30" s="40">
        <f t="shared" si="13"/>
        <v>-30</v>
      </c>
      <c r="K30" s="40">
        <f t="shared" si="14"/>
        <v>-30</v>
      </c>
      <c r="L30" s="39" t="e">
        <f t="shared" si="15"/>
        <v>#REF!</v>
      </c>
      <c r="M30" s="39" t="e">
        <f t="shared" si="16"/>
        <v>#REF!</v>
      </c>
      <c r="N30" s="39" t="e">
        <f t="shared" si="17"/>
        <v>#REF!</v>
      </c>
      <c r="O30" s="40">
        <v>-30</v>
      </c>
      <c r="P30" s="40">
        <v>-30</v>
      </c>
      <c r="Q30" s="40">
        <v>-30</v>
      </c>
      <c r="R30" s="39" t="e">
        <f>O30/#REF!</f>
        <v>#REF!</v>
      </c>
      <c r="S30" s="39" t="e">
        <f>P30/#REF!</f>
        <v>#REF!</v>
      </c>
      <c r="T30" s="39" t="e">
        <f>Q30/#REF!</f>
        <v>#REF!</v>
      </c>
      <c r="U30" s="42" t="s">
        <v>105</v>
      </c>
      <c r="V30" s="43" t="s">
        <v>105</v>
      </c>
      <c r="W30" s="43" t="s">
        <v>105</v>
      </c>
    </row>
    <row r="31" spans="1:23" ht="22.5" customHeight="1" x14ac:dyDescent="0.2">
      <c r="A31" s="36">
        <v>24</v>
      </c>
      <c r="B31" s="36" t="s">
        <v>139</v>
      </c>
      <c r="C31" s="36" t="s">
        <v>151</v>
      </c>
      <c r="D31" s="36" t="s">
        <v>121</v>
      </c>
      <c r="E31" s="36" t="s">
        <v>176</v>
      </c>
      <c r="F31" s="38" t="s">
        <v>105</v>
      </c>
      <c r="G31" s="38" t="s">
        <v>105</v>
      </c>
      <c r="H31" s="38" t="s">
        <v>105</v>
      </c>
      <c r="I31" s="53">
        <f t="shared" ref="I31:I44" si="18">U31</f>
        <v>-30</v>
      </c>
      <c r="J31" s="53" t="s">
        <v>105</v>
      </c>
      <c r="K31" s="53" t="s">
        <v>105</v>
      </c>
      <c r="L31" s="39" t="e">
        <f>U31/Context!$F$21</f>
        <v>#DIV/0!</v>
      </c>
      <c r="M31" s="38" t="s">
        <v>105</v>
      </c>
      <c r="N31" s="38" t="s">
        <v>105</v>
      </c>
      <c r="O31" s="53" t="s">
        <v>105</v>
      </c>
      <c r="P31" s="53" t="s">
        <v>105</v>
      </c>
      <c r="Q31" s="53" t="s">
        <v>105</v>
      </c>
      <c r="R31" s="38" t="s">
        <v>105</v>
      </c>
      <c r="S31" s="38" t="s">
        <v>105</v>
      </c>
      <c r="T31" s="38" t="s">
        <v>105</v>
      </c>
      <c r="U31" s="42">
        <v>-30</v>
      </c>
      <c r="V31" s="43" t="s">
        <v>105</v>
      </c>
      <c r="W31" s="43" t="s">
        <v>105</v>
      </c>
    </row>
    <row r="32" spans="1:23" ht="22.5" customHeight="1" x14ac:dyDescent="0.2">
      <c r="A32" s="36">
        <v>25</v>
      </c>
      <c r="B32" s="36" t="s">
        <v>152</v>
      </c>
      <c r="C32" s="36" t="s">
        <v>153</v>
      </c>
      <c r="D32" s="36" t="s">
        <v>114</v>
      </c>
      <c r="E32" s="36" t="s">
        <v>56</v>
      </c>
      <c r="F32" s="46">
        <v>66.3</v>
      </c>
      <c r="G32" s="39">
        <f>F32/Context!$F$16</f>
        <v>4.5010183299388998E-3</v>
      </c>
      <c r="H32" s="45" t="s">
        <v>57</v>
      </c>
      <c r="I32" s="40">
        <f t="shared" si="18"/>
        <v>103.83799999999999</v>
      </c>
      <c r="J32" s="40">
        <f t="shared" ref="J32:K32" si="19">V32</f>
        <v>130.59690000000001</v>
      </c>
      <c r="K32" s="40">
        <f t="shared" si="19"/>
        <v>86.041480000000007</v>
      </c>
      <c r="L32" s="39" t="e">
        <f>U32/#REF!</f>
        <v>#REF!</v>
      </c>
      <c r="M32" s="39" t="e">
        <f>V32/#REF!</f>
        <v>#REF!</v>
      </c>
      <c r="N32" s="39" t="e">
        <f>W32/#REF!</f>
        <v>#REF!</v>
      </c>
      <c r="O32" s="53" t="s">
        <v>105</v>
      </c>
      <c r="P32" s="53" t="s">
        <v>105</v>
      </c>
      <c r="Q32" s="53" t="s">
        <v>105</v>
      </c>
      <c r="R32" s="38" t="s">
        <v>105</v>
      </c>
      <c r="S32" s="38" t="s">
        <v>105</v>
      </c>
      <c r="T32" s="38" t="s">
        <v>105</v>
      </c>
      <c r="U32" s="54">
        <v>103.83799999999999</v>
      </c>
      <c r="V32" s="43">
        <v>130.59690000000001</v>
      </c>
      <c r="W32" s="43">
        <v>86.041480000000007</v>
      </c>
    </row>
    <row r="33" spans="1:23" ht="22.5" hidden="1" customHeight="1" x14ac:dyDescent="0.2">
      <c r="A33" s="36">
        <v>26</v>
      </c>
      <c r="B33" s="36" t="s">
        <v>152</v>
      </c>
      <c r="C33" s="55" t="s">
        <v>154</v>
      </c>
      <c r="D33" s="36"/>
      <c r="E33" s="36" t="s">
        <v>56</v>
      </c>
      <c r="F33" s="45">
        <v>43.5</v>
      </c>
      <c r="G33" s="39" t="e">
        <f>F33/#REF!</f>
        <v>#REF!</v>
      </c>
      <c r="H33" s="45">
        <v>12</v>
      </c>
      <c r="I33" s="40">
        <f t="shared" si="18"/>
        <v>143.0462</v>
      </c>
      <c r="J33" s="40">
        <f t="shared" ref="J33:K33" si="20">V33</f>
        <v>184.20310000000001</v>
      </c>
      <c r="K33" s="40">
        <f t="shared" si="20"/>
        <v>117.0497</v>
      </c>
      <c r="L33" s="39" t="e">
        <f>U33/#REF!</f>
        <v>#REF!</v>
      </c>
      <c r="M33" s="39" t="e">
        <f>V33/#REF!</f>
        <v>#REF!</v>
      </c>
      <c r="N33" s="39" t="e">
        <f>W33/#REF!</f>
        <v>#REF!</v>
      </c>
      <c r="O33" s="53" t="s">
        <v>105</v>
      </c>
      <c r="P33" s="53" t="s">
        <v>105</v>
      </c>
      <c r="Q33" s="53" t="s">
        <v>105</v>
      </c>
      <c r="R33" s="38" t="s">
        <v>105</v>
      </c>
      <c r="S33" s="38" t="s">
        <v>105</v>
      </c>
      <c r="T33" s="38" t="s">
        <v>105</v>
      </c>
      <c r="U33" s="54">
        <v>143.0462</v>
      </c>
      <c r="V33" s="43">
        <v>184.20310000000001</v>
      </c>
      <c r="W33" s="43">
        <v>117.0497</v>
      </c>
    </row>
    <row r="34" spans="1:23" ht="22.5" customHeight="1" x14ac:dyDescent="0.2">
      <c r="A34" s="36">
        <v>27</v>
      </c>
      <c r="B34" s="36" t="s">
        <v>152</v>
      </c>
      <c r="C34" s="36" t="s">
        <v>155</v>
      </c>
      <c r="D34" s="36" t="s">
        <v>102</v>
      </c>
      <c r="E34" s="36" t="s">
        <v>56</v>
      </c>
      <c r="F34" s="38" t="s">
        <v>105</v>
      </c>
      <c r="G34" s="38" t="s">
        <v>105</v>
      </c>
      <c r="H34" s="38" t="s">
        <v>105</v>
      </c>
      <c r="I34" s="40">
        <f t="shared" si="18"/>
        <v>129.03309999999999</v>
      </c>
      <c r="J34" s="40">
        <f t="shared" ref="J34:K34" si="21">V34</f>
        <v>216.036</v>
      </c>
      <c r="K34" s="40">
        <f t="shared" si="21"/>
        <v>92.827979999999997</v>
      </c>
      <c r="L34" s="39" t="e">
        <f>U34/#REF!</f>
        <v>#REF!</v>
      </c>
      <c r="M34" s="39" t="e">
        <f>V34/#REF!</f>
        <v>#REF!</v>
      </c>
      <c r="N34" s="39" t="e">
        <f>W34/#REF!</f>
        <v>#REF!</v>
      </c>
      <c r="O34" s="53" t="s">
        <v>105</v>
      </c>
      <c r="P34" s="53" t="s">
        <v>105</v>
      </c>
      <c r="Q34" s="53" t="s">
        <v>105</v>
      </c>
      <c r="R34" s="38" t="s">
        <v>105</v>
      </c>
      <c r="S34" s="38" t="s">
        <v>105</v>
      </c>
      <c r="T34" s="38" t="s">
        <v>105</v>
      </c>
      <c r="U34" s="54">
        <v>129.03309999999999</v>
      </c>
      <c r="V34" s="43">
        <v>216.036</v>
      </c>
      <c r="W34" s="43">
        <v>92.827979999999997</v>
      </c>
    </row>
    <row r="35" spans="1:23" ht="22.5" hidden="1" customHeight="1" x14ac:dyDescent="0.2">
      <c r="A35" s="36">
        <v>28</v>
      </c>
      <c r="B35" s="36" t="s">
        <v>152</v>
      </c>
      <c r="C35" s="55" t="s">
        <v>156</v>
      </c>
      <c r="D35" s="36"/>
      <c r="E35" s="36" t="s">
        <v>56</v>
      </c>
      <c r="F35" s="38" t="s">
        <v>105</v>
      </c>
      <c r="G35" s="38" t="s">
        <v>105</v>
      </c>
      <c r="H35" s="38" t="s">
        <v>105</v>
      </c>
      <c r="I35" s="40">
        <f t="shared" si="18"/>
        <v>175.29859999999999</v>
      </c>
      <c r="J35" s="40">
        <f t="shared" ref="J35:K35" si="22">V35</f>
        <v>277.17970000000003</v>
      </c>
      <c r="K35" s="40">
        <f t="shared" si="22"/>
        <v>128.12029999999999</v>
      </c>
      <c r="L35" s="39" t="e">
        <f>U35/#REF!</f>
        <v>#REF!</v>
      </c>
      <c r="M35" s="39" t="e">
        <f>V35/#REF!</f>
        <v>#REF!</v>
      </c>
      <c r="N35" s="39" t="e">
        <f>W35/#REF!</f>
        <v>#REF!</v>
      </c>
      <c r="O35" s="53" t="s">
        <v>105</v>
      </c>
      <c r="P35" s="53" t="s">
        <v>105</v>
      </c>
      <c r="Q35" s="53" t="s">
        <v>105</v>
      </c>
      <c r="R35" s="38" t="s">
        <v>105</v>
      </c>
      <c r="S35" s="38" t="s">
        <v>105</v>
      </c>
      <c r="T35" s="38" t="s">
        <v>105</v>
      </c>
      <c r="U35" s="54">
        <v>175.29859999999999</v>
      </c>
      <c r="V35" s="43">
        <v>277.17970000000003</v>
      </c>
      <c r="W35" s="43">
        <v>128.12029999999999</v>
      </c>
    </row>
    <row r="36" spans="1:23" ht="22.5" customHeight="1" x14ac:dyDescent="0.2">
      <c r="A36" s="36">
        <v>29</v>
      </c>
      <c r="B36" s="36" t="s">
        <v>152</v>
      </c>
      <c r="C36" s="36" t="s">
        <v>157</v>
      </c>
      <c r="D36" s="36" t="s">
        <v>114</v>
      </c>
      <c r="E36" s="36" t="s">
        <v>56</v>
      </c>
      <c r="F36" s="38" t="s">
        <v>105</v>
      </c>
      <c r="G36" s="38" t="s">
        <v>105</v>
      </c>
      <c r="H36" s="38" t="s">
        <v>105</v>
      </c>
      <c r="I36" s="40">
        <f t="shared" si="18"/>
        <v>152.03569999999999</v>
      </c>
      <c r="J36" s="40">
        <f t="shared" ref="J36:K36" si="23">V36</f>
        <v>169.08199999999999</v>
      </c>
      <c r="K36" s="40">
        <f t="shared" si="23"/>
        <v>137.80199999999999</v>
      </c>
      <c r="L36" s="39" t="e">
        <f>U36/#REF!</f>
        <v>#REF!</v>
      </c>
      <c r="M36" s="39" t="e">
        <f>V36/#REF!</f>
        <v>#REF!</v>
      </c>
      <c r="N36" s="39" t="e">
        <f>W36/#REF!</f>
        <v>#REF!</v>
      </c>
      <c r="O36" s="53" t="s">
        <v>105</v>
      </c>
      <c r="P36" s="53" t="s">
        <v>105</v>
      </c>
      <c r="Q36" s="53" t="s">
        <v>105</v>
      </c>
      <c r="R36" s="38" t="s">
        <v>105</v>
      </c>
      <c r="S36" s="38" t="s">
        <v>105</v>
      </c>
      <c r="T36" s="38" t="s">
        <v>105</v>
      </c>
      <c r="U36" s="54">
        <v>152.03569999999999</v>
      </c>
      <c r="V36" s="43">
        <v>169.08199999999999</v>
      </c>
      <c r="W36" s="43">
        <v>137.80199999999999</v>
      </c>
    </row>
    <row r="37" spans="1:23" ht="22.5" customHeight="1" x14ac:dyDescent="0.2">
      <c r="A37" s="36">
        <v>30</v>
      </c>
      <c r="B37" s="36" t="s">
        <v>152</v>
      </c>
      <c r="C37" s="36" t="s">
        <v>158</v>
      </c>
      <c r="D37" s="36" t="s">
        <v>102</v>
      </c>
      <c r="E37" s="36" t="s">
        <v>56</v>
      </c>
      <c r="F37" s="38" t="s">
        <v>105</v>
      </c>
      <c r="G37" s="38" t="s">
        <v>105</v>
      </c>
      <c r="H37" s="38" t="s">
        <v>104</v>
      </c>
      <c r="I37" s="40">
        <f t="shared" si="18"/>
        <v>320</v>
      </c>
      <c r="J37" s="53" t="s">
        <v>105</v>
      </c>
      <c r="K37" s="53" t="s">
        <v>105</v>
      </c>
      <c r="L37" s="39" t="e">
        <f>U37/#REF!</f>
        <v>#REF!</v>
      </c>
      <c r="M37" s="38" t="s">
        <v>105</v>
      </c>
      <c r="N37" s="38" t="s">
        <v>105</v>
      </c>
      <c r="O37" s="53" t="s">
        <v>105</v>
      </c>
      <c r="P37" s="53" t="s">
        <v>105</v>
      </c>
      <c r="Q37" s="53" t="s">
        <v>105</v>
      </c>
      <c r="R37" s="38" t="s">
        <v>105</v>
      </c>
      <c r="S37" s="38" t="s">
        <v>105</v>
      </c>
      <c r="T37" s="38" t="s">
        <v>105</v>
      </c>
      <c r="U37" s="54">
        <v>320</v>
      </c>
      <c r="V37" s="43" t="s">
        <v>105</v>
      </c>
      <c r="W37" s="43" t="s">
        <v>105</v>
      </c>
    </row>
    <row r="38" spans="1:23" ht="22.5" hidden="1" customHeight="1" x14ac:dyDescent="0.2">
      <c r="A38" s="36">
        <v>31</v>
      </c>
      <c r="B38" s="36" t="s">
        <v>152</v>
      </c>
      <c r="C38" s="55" t="s">
        <v>159</v>
      </c>
      <c r="D38" s="36"/>
      <c r="E38" s="36" t="s">
        <v>56</v>
      </c>
      <c r="F38" s="38" t="s">
        <v>105</v>
      </c>
      <c r="G38" s="38" t="s">
        <v>105</v>
      </c>
      <c r="H38" s="38" t="s">
        <v>105</v>
      </c>
      <c r="I38" s="40">
        <f t="shared" si="18"/>
        <v>338.55610000000001</v>
      </c>
      <c r="J38" s="40">
        <f t="shared" ref="J38:K38" si="24">V38</f>
        <v>541.37059999999997</v>
      </c>
      <c r="K38" s="40">
        <f t="shared" si="24"/>
        <v>246.63560000000001</v>
      </c>
      <c r="L38" s="39" t="e">
        <f>U38/#REF!</f>
        <v>#REF!</v>
      </c>
      <c r="M38" s="39" t="e">
        <f>V38/#REF!</f>
        <v>#REF!</v>
      </c>
      <c r="N38" s="39" t="e">
        <f>W38/#REF!</f>
        <v>#REF!</v>
      </c>
      <c r="O38" s="53" t="s">
        <v>105</v>
      </c>
      <c r="P38" s="53" t="s">
        <v>105</v>
      </c>
      <c r="Q38" s="53" t="s">
        <v>105</v>
      </c>
      <c r="R38" s="38" t="s">
        <v>105</v>
      </c>
      <c r="S38" s="38" t="s">
        <v>105</v>
      </c>
      <c r="T38" s="38" t="s">
        <v>105</v>
      </c>
      <c r="U38" s="54">
        <v>338.55610000000001</v>
      </c>
      <c r="V38" s="43">
        <v>541.37059999999997</v>
      </c>
      <c r="W38" s="43">
        <v>246.63560000000001</v>
      </c>
    </row>
    <row r="39" spans="1:23" ht="22.5" customHeight="1" x14ac:dyDescent="0.2">
      <c r="A39" s="36">
        <v>32</v>
      </c>
      <c r="B39" s="36" t="s">
        <v>152</v>
      </c>
      <c r="C39" s="36" t="s">
        <v>160</v>
      </c>
      <c r="D39" s="36" t="s">
        <v>121</v>
      </c>
      <c r="E39" s="36" t="s">
        <v>56</v>
      </c>
      <c r="F39" s="46">
        <v>180</v>
      </c>
      <c r="G39" s="39">
        <f>F39/Context!$F$14</f>
        <v>1.8</v>
      </c>
      <c r="H39" s="38">
        <v>13</v>
      </c>
      <c r="I39" s="40">
        <f t="shared" si="18"/>
        <v>904</v>
      </c>
      <c r="J39" s="40">
        <f t="shared" ref="J39:K39" si="25">V39</f>
        <v>1371</v>
      </c>
      <c r="K39" s="40">
        <f t="shared" si="25"/>
        <v>675</v>
      </c>
      <c r="L39" s="39" t="e">
        <f>U39/#REF!</f>
        <v>#REF!</v>
      </c>
      <c r="M39" s="39" t="e">
        <f>V39/#REF!</f>
        <v>#REF!</v>
      </c>
      <c r="N39" s="39" t="e">
        <f>W39/#REF!</f>
        <v>#REF!</v>
      </c>
      <c r="O39" s="53" t="s">
        <v>105</v>
      </c>
      <c r="P39" s="53" t="s">
        <v>105</v>
      </c>
      <c r="Q39" s="53" t="s">
        <v>105</v>
      </c>
      <c r="R39" s="38" t="s">
        <v>105</v>
      </c>
      <c r="S39" s="38" t="s">
        <v>105</v>
      </c>
      <c r="T39" s="38" t="s">
        <v>105</v>
      </c>
      <c r="U39" s="54">
        <v>904</v>
      </c>
      <c r="V39" s="43">
        <v>1371</v>
      </c>
      <c r="W39" s="43">
        <v>675</v>
      </c>
    </row>
    <row r="40" spans="1:23" ht="22.5" customHeight="1" x14ac:dyDescent="0.2">
      <c r="A40" s="36">
        <v>33</v>
      </c>
      <c r="B40" s="36" t="s">
        <v>152</v>
      </c>
      <c r="C40" s="36" t="s">
        <v>161</v>
      </c>
      <c r="D40" s="36" t="s">
        <v>114</v>
      </c>
      <c r="E40" s="36" t="s">
        <v>162</v>
      </c>
      <c r="F40" s="45">
        <v>19</v>
      </c>
      <c r="G40" s="38" t="s">
        <v>105</v>
      </c>
      <c r="H40" s="38" t="s">
        <v>163</v>
      </c>
      <c r="I40" s="49">
        <f t="shared" si="18"/>
        <v>-4.9783379999999999</v>
      </c>
      <c r="J40" s="49">
        <f t="shared" ref="J40:K40" si="26">V40</f>
        <v>-4.4934839999999996</v>
      </c>
      <c r="K40" s="49">
        <f t="shared" si="26"/>
        <v>-5.5775430000000004</v>
      </c>
      <c r="L40" s="39">
        <f t="shared" ref="L40:N40" si="27">U40/$F$40</f>
        <v>-0.2620177894736842</v>
      </c>
      <c r="M40" s="39">
        <f t="shared" si="27"/>
        <v>-0.23649915789473683</v>
      </c>
      <c r="N40" s="39">
        <f t="shared" si="27"/>
        <v>-0.2935548947368421</v>
      </c>
      <c r="O40" s="53" t="s">
        <v>105</v>
      </c>
      <c r="P40" s="53" t="s">
        <v>105</v>
      </c>
      <c r="Q40" s="53" t="s">
        <v>105</v>
      </c>
      <c r="R40" s="38" t="s">
        <v>105</v>
      </c>
      <c r="S40" s="38" t="s">
        <v>105</v>
      </c>
      <c r="T40" s="38" t="s">
        <v>105</v>
      </c>
      <c r="U40" s="56">
        <v>-4.9783379999999999</v>
      </c>
      <c r="V40" s="43">
        <v>-4.4934839999999996</v>
      </c>
      <c r="W40" s="43">
        <v>-5.5775430000000004</v>
      </c>
    </row>
    <row r="41" spans="1:23" ht="22.5" customHeight="1" x14ac:dyDescent="0.2">
      <c r="A41" s="36">
        <v>34</v>
      </c>
      <c r="B41" s="36" t="s">
        <v>152</v>
      </c>
      <c r="C41" s="36" t="s">
        <v>164</v>
      </c>
      <c r="D41" s="36" t="s">
        <v>114</v>
      </c>
      <c r="E41" s="36" t="s">
        <v>56</v>
      </c>
      <c r="F41" s="57">
        <v>20.3</v>
      </c>
      <c r="G41" s="38" t="s">
        <v>105</v>
      </c>
      <c r="H41" s="38" t="s">
        <v>104</v>
      </c>
      <c r="I41" s="49">
        <f t="shared" si="18"/>
        <v>18.042159999999999</v>
      </c>
      <c r="J41" s="49">
        <f t="shared" ref="J41:K41" si="28">V41</f>
        <v>45.233789999999999</v>
      </c>
      <c r="K41" s="49">
        <f t="shared" si="28"/>
        <v>11.192539999999999</v>
      </c>
      <c r="L41" s="39">
        <f t="shared" ref="L41:N41" si="29">U41/$F$41</f>
        <v>0.88877635467980287</v>
      </c>
      <c r="M41" s="39">
        <f t="shared" si="29"/>
        <v>2.228265517241379</v>
      </c>
      <c r="N41" s="39">
        <f t="shared" si="29"/>
        <v>0.55135665024630531</v>
      </c>
      <c r="O41" s="53" t="s">
        <v>105</v>
      </c>
      <c r="P41" s="53" t="s">
        <v>105</v>
      </c>
      <c r="Q41" s="53" t="s">
        <v>105</v>
      </c>
      <c r="R41" s="38" t="s">
        <v>105</v>
      </c>
      <c r="S41" s="38" t="s">
        <v>105</v>
      </c>
      <c r="T41" s="38" t="s">
        <v>105</v>
      </c>
      <c r="U41" s="56">
        <v>18.042159999999999</v>
      </c>
      <c r="V41" s="43">
        <v>45.233789999999999</v>
      </c>
      <c r="W41" s="43">
        <v>11.192539999999999</v>
      </c>
    </row>
    <row r="42" spans="1:23" ht="22.5" customHeight="1" x14ac:dyDescent="0.2">
      <c r="A42" s="36"/>
      <c r="B42" s="36" t="s">
        <v>152</v>
      </c>
      <c r="C42" s="36" t="s">
        <v>165</v>
      </c>
      <c r="D42" s="36"/>
      <c r="E42" s="36" t="s">
        <v>162</v>
      </c>
      <c r="F42" s="57">
        <v>0.56999999999999995</v>
      </c>
      <c r="G42" s="38" t="s">
        <v>105</v>
      </c>
      <c r="H42" s="38" t="s">
        <v>104</v>
      </c>
      <c r="I42" s="49">
        <f t="shared" si="18"/>
        <v>-0.54721779999999998</v>
      </c>
      <c r="J42" s="49">
        <f t="shared" ref="J42:K42" si="30">V42</f>
        <v>-0.35146769999999999</v>
      </c>
      <c r="K42" s="49">
        <f t="shared" si="30"/>
        <v>-1.2115610000000001</v>
      </c>
      <c r="L42" s="39">
        <f t="shared" ref="L42:N42" si="31">U42/$F$42</f>
        <v>-0.96003122807017549</v>
      </c>
      <c r="M42" s="39">
        <f t="shared" si="31"/>
        <v>-0.61660999999999999</v>
      </c>
      <c r="N42" s="39">
        <f t="shared" si="31"/>
        <v>-2.1255456140350879</v>
      </c>
      <c r="O42" s="53" t="s">
        <v>105</v>
      </c>
      <c r="P42" s="53" t="s">
        <v>105</v>
      </c>
      <c r="Q42" s="53" t="s">
        <v>105</v>
      </c>
      <c r="R42" s="38" t="s">
        <v>105</v>
      </c>
      <c r="S42" s="38" t="s">
        <v>105</v>
      </c>
      <c r="T42" s="38" t="s">
        <v>105</v>
      </c>
      <c r="U42" s="56">
        <v>-0.54721779999999998</v>
      </c>
      <c r="V42" s="43">
        <v>-0.35146769999999999</v>
      </c>
      <c r="W42" s="43">
        <v>-1.2115610000000001</v>
      </c>
    </row>
    <row r="43" spans="1:23" ht="22.5" customHeight="1" x14ac:dyDescent="0.2">
      <c r="A43" s="36">
        <v>35</v>
      </c>
      <c r="B43" s="36" t="s">
        <v>166</v>
      </c>
      <c r="C43" s="36" t="s">
        <v>167</v>
      </c>
      <c r="D43" s="36" t="s">
        <v>137</v>
      </c>
      <c r="E43" s="36" t="s">
        <v>168</v>
      </c>
      <c r="F43" s="48">
        <v>467.33</v>
      </c>
      <c r="G43" s="38" t="s">
        <v>105</v>
      </c>
      <c r="H43" s="38" t="s">
        <v>169</v>
      </c>
      <c r="I43" s="40">
        <f t="shared" si="18"/>
        <v>-125.61929984252112</v>
      </c>
      <c r="J43" s="53" t="s">
        <v>105</v>
      </c>
      <c r="K43" s="53" t="s">
        <v>105</v>
      </c>
      <c r="L43" s="39" t="e">
        <f>U43/#REF!</f>
        <v>#REF!</v>
      </c>
      <c r="M43" s="38" t="s">
        <v>105</v>
      </c>
      <c r="N43" s="38" t="s">
        <v>105</v>
      </c>
      <c r="O43" s="53" t="s">
        <v>105</v>
      </c>
      <c r="P43" s="53" t="s">
        <v>105</v>
      </c>
      <c r="Q43" s="53" t="s">
        <v>105</v>
      </c>
      <c r="R43" s="38" t="s">
        <v>105</v>
      </c>
      <c r="S43" s="38" t="s">
        <v>105</v>
      </c>
      <c r="T43" s="38" t="s">
        <v>105</v>
      </c>
      <c r="U43" s="54">
        <v>-125.61929984252112</v>
      </c>
      <c r="V43" s="43" t="s">
        <v>105</v>
      </c>
      <c r="W43" s="43" t="s">
        <v>105</v>
      </c>
    </row>
    <row r="44" spans="1:23" ht="22.5" customHeight="1" x14ac:dyDescent="0.2">
      <c r="A44" s="36">
        <v>36</v>
      </c>
      <c r="B44" s="36" t="s">
        <v>166</v>
      </c>
      <c r="C44" s="36" t="s">
        <v>170</v>
      </c>
      <c r="D44" s="36" t="s">
        <v>121</v>
      </c>
      <c r="E44" s="36" t="s">
        <v>171</v>
      </c>
      <c r="F44" s="48">
        <v>539</v>
      </c>
      <c r="G44" s="38" t="s">
        <v>105</v>
      </c>
      <c r="H44" s="38" t="s">
        <v>172</v>
      </c>
      <c r="I44" s="49">
        <f t="shared" si="18"/>
        <v>1.3826935245836804</v>
      </c>
      <c r="J44" s="53" t="s">
        <v>105</v>
      </c>
      <c r="K44" s="53" t="s">
        <v>105</v>
      </c>
      <c r="L44" s="39" t="e">
        <f>-U44/#REF!</f>
        <v>#REF!</v>
      </c>
      <c r="M44" s="38" t="s">
        <v>105</v>
      </c>
      <c r="N44" s="38" t="s">
        <v>105</v>
      </c>
      <c r="O44" s="53" t="s">
        <v>105</v>
      </c>
      <c r="P44" s="53" t="s">
        <v>105</v>
      </c>
      <c r="Q44" s="53" t="s">
        <v>105</v>
      </c>
      <c r="R44" s="38" t="s">
        <v>105</v>
      </c>
      <c r="S44" s="38" t="s">
        <v>105</v>
      </c>
      <c r="T44" s="38" t="s">
        <v>105</v>
      </c>
      <c r="U44" s="56">
        <v>1.3826935245836804</v>
      </c>
      <c r="V44" s="43" t="s">
        <v>105</v>
      </c>
      <c r="W44" s="43" t="s">
        <v>105</v>
      </c>
    </row>
  </sheetData>
  <dataValidations count="2">
    <dataValidation type="custom" allowBlank="1" showDropDown="1" sqref="V2:W44" xr:uid="{00000000-0002-0000-0300-000000000000}">
      <formula1>AND(ISNUMBER(V2),(NOT(OR(NOT(ISERROR(DATEVALUE(V2))), AND(ISNUMBER(V2), LEFT(CELL("format", V2))="D")))))</formula1>
    </dataValidation>
    <dataValidation type="list" allowBlank="1" showDropDown="1" showErrorMessage="1" sqref="B2:B44" xr:uid="{00000000-0002-0000-0300-000001000000}">
      <formula1>"Power,Transport,Buildings,Industry,Land use,Food"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HFCs EFs</vt:lpstr>
      <vt:lpstr>Methane (New)</vt:lpstr>
      <vt:lpstr>Methane</vt:lpstr>
      <vt:lpstr>Vehicle Population</vt:lpstr>
      <vt:lpstr>FLW Data</vt:lpstr>
      <vt:lpstr>FLW CF</vt:lpstr>
      <vt:lpstr>Context</vt:lpstr>
      <vt:lpstr>Effort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Shen, Yunxi</cp:lastModifiedBy>
  <cp:lastPrinted>2026-08-06T13:52:44Z</cp:lastPrinted>
  <dcterms:created xsi:type="dcterms:W3CDTF">2026-06-20T08:00:12Z</dcterms:created>
  <dcterms:modified xsi:type="dcterms:W3CDTF">2026-09-01T17:40:27Z</dcterms:modified>
</cp:coreProperties>
</file>